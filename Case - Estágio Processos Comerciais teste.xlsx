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ler\Desktop\"/>
    </mc:Choice>
  </mc:AlternateContent>
  <xr:revisionPtr revIDLastSave="0" documentId="13_ncr:1_{43DD7C7C-E03C-4455-ABF2-40B542B8DDC9}" xr6:coauthVersionLast="47" xr6:coauthVersionMax="47" xr10:uidLastSave="{00000000-0000-0000-0000-000000000000}"/>
  <bookViews>
    <workbookView xWindow="28680" yWindow="-120" windowWidth="29040" windowHeight="15720" activeTab="2" xr2:uid="{6F42E206-DD32-4AC5-89D6-560911D752AB}"/>
  </bookViews>
  <sheets>
    <sheet name="Enunciado" sheetId="2" r:id="rId1"/>
    <sheet name="Acompanhamento Campanha" sheetId="4" r:id="rId2"/>
    <sheet name="Dash" sheetId="12" r:id="rId3"/>
    <sheet name="Tabelas dinâmicas" sheetId="22" r:id="rId4"/>
  </sheets>
  <definedNames>
    <definedName name="_xlnm._FilterDatabase" localSheetId="1" hidden="1">'Acompanhamento Campanha'!$A$1:$K$139</definedName>
    <definedName name="SegmentaçãodeDados_Cód.Cliente">#N/A</definedName>
    <definedName name="SegmentaçãodeDados_Segmento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87" i="4"/>
  <c r="I95" i="4"/>
  <c r="I107" i="4"/>
  <c r="I133" i="4"/>
  <c r="I136" i="4"/>
  <c r="I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17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6" i="4"/>
  <c r="J75" i="4"/>
  <c r="J112" i="4"/>
  <c r="J113" i="4"/>
  <c r="J2" i="4"/>
  <c r="G47" i="4"/>
  <c r="G70" i="4" s="1"/>
  <c r="G93" i="4" s="1"/>
  <c r="G116" i="4" s="1"/>
  <c r="G139" i="4" s="1"/>
  <c r="F47" i="4"/>
  <c r="F70" i="4" s="1"/>
  <c r="F93" i="4" s="1"/>
  <c r="F116" i="4" s="1"/>
  <c r="J116" i="4" s="1"/>
  <c r="D47" i="4"/>
  <c r="D70" i="4" s="1"/>
  <c r="D93" i="4" s="1"/>
  <c r="D116" i="4" s="1"/>
  <c r="D139" i="4" s="1"/>
  <c r="I139" i="4" s="1"/>
  <c r="A47" i="4"/>
  <c r="A70" i="4" s="1"/>
  <c r="A93" i="4" s="1"/>
  <c r="A116" i="4" s="1"/>
  <c r="A139" i="4" s="1"/>
  <c r="G46" i="4"/>
  <c r="G69" i="4" s="1"/>
  <c r="G92" i="4" s="1"/>
  <c r="G115" i="4" s="1"/>
  <c r="G138" i="4" s="1"/>
  <c r="F46" i="4"/>
  <c r="F69" i="4" s="1"/>
  <c r="F92" i="4" s="1"/>
  <c r="F115" i="4" s="1"/>
  <c r="D46" i="4"/>
  <c r="D69" i="4" s="1"/>
  <c r="D92" i="4" s="1"/>
  <c r="D115" i="4" s="1"/>
  <c r="D138" i="4" s="1"/>
  <c r="I138" i="4" s="1"/>
  <c r="A46" i="4"/>
  <c r="A69" i="4" s="1"/>
  <c r="A92" i="4" s="1"/>
  <c r="A115" i="4" s="1"/>
  <c r="A138" i="4" s="1"/>
  <c r="G45" i="4"/>
  <c r="G68" i="4" s="1"/>
  <c r="G91" i="4" s="1"/>
  <c r="G114" i="4" s="1"/>
  <c r="G137" i="4" s="1"/>
  <c r="F45" i="4"/>
  <c r="F68" i="4" s="1"/>
  <c r="F91" i="4" s="1"/>
  <c r="D45" i="4"/>
  <c r="D68" i="4" s="1"/>
  <c r="D91" i="4" s="1"/>
  <c r="D114" i="4" s="1"/>
  <c r="D137" i="4" s="1"/>
  <c r="I137" i="4" s="1"/>
  <c r="A45" i="4"/>
  <c r="A68" i="4" s="1"/>
  <c r="A91" i="4" s="1"/>
  <c r="A114" i="4" s="1"/>
  <c r="A137" i="4" s="1"/>
  <c r="G44" i="4"/>
  <c r="G67" i="4" s="1"/>
  <c r="G90" i="4" s="1"/>
  <c r="G113" i="4" s="1"/>
  <c r="G136" i="4" s="1"/>
  <c r="F44" i="4"/>
  <c r="F67" i="4" s="1"/>
  <c r="F90" i="4" s="1"/>
  <c r="F113" i="4" s="1"/>
  <c r="D44" i="4"/>
  <c r="D67" i="4" s="1"/>
  <c r="D90" i="4" s="1"/>
  <c r="D113" i="4" s="1"/>
  <c r="D136" i="4" s="1"/>
  <c r="A44" i="4"/>
  <c r="A67" i="4" s="1"/>
  <c r="A90" i="4" s="1"/>
  <c r="A113" i="4" s="1"/>
  <c r="A136" i="4" s="1"/>
  <c r="G43" i="4"/>
  <c r="G66" i="4" s="1"/>
  <c r="G89" i="4" s="1"/>
  <c r="G112" i="4" s="1"/>
  <c r="G135" i="4" s="1"/>
  <c r="F43" i="4"/>
  <c r="F66" i="4" s="1"/>
  <c r="F89" i="4" s="1"/>
  <c r="F112" i="4" s="1"/>
  <c r="D43" i="4"/>
  <c r="D66" i="4" s="1"/>
  <c r="D89" i="4" s="1"/>
  <c r="D112" i="4" s="1"/>
  <c r="D135" i="4" s="1"/>
  <c r="I135" i="4" s="1"/>
  <c r="A43" i="4"/>
  <c r="A66" i="4" s="1"/>
  <c r="A89" i="4" s="1"/>
  <c r="A112" i="4" s="1"/>
  <c r="A135" i="4" s="1"/>
  <c r="G42" i="4"/>
  <c r="G65" i="4" s="1"/>
  <c r="G88" i="4" s="1"/>
  <c r="G111" i="4" s="1"/>
  <c r="G134" i="4" s="1"/>
  <c r="F42" i="4"/>
  <c r="F65" i="4" s="1"/>
  <c r="D42" i="4"/>
  <c r="I42" i="4" s="1"/>
  <c r="A42" i="4"/>
  <c r="A65" i="4" s="1"/>
  <c r="A88" i="4" s="1"/>
  <c r="A111" i="4" s="1"/>
  <c r="A134" i="4" s="1"/>
  <c r="G41" i="4"/>
  <c r="G64" i="4" s="1"/>
  <c r="G87" i="4" s="1"/>
  <c r="G110" i="4" s="1"/>
  <c r="G133" i="4" s="1"/>
  <c r="F41" i="4"/>
  <c r="F64" i="4" s="1"/>
  <c r="D41" i="4"/>
  <c r="D64" i="4" s="1"/>
  <c r="D87" i="4" s="1"/>
  <c r="D110" i="4" s="1"/>
  <c r="D133" i="4" s="1"/>
  <c r="A41" i="4"/>
  <c r="A64" i="4" s="1"/>
  <c r="A87" i="4" s="1"/>
  <c r="A110" i="4" s="1"/>
  <c r="A133" i="4" s="1"/>
  <c r="G40" i="4"/>
  <c r="G63" i="4" s="1"/>
  <c r="G86" i="4" s="1"/>
  <c r="G109" i="4" s="1"/>
  <c r="G132" i="4" s="1"/>
  <c r="F40" i="4"/>
  <c r="F63" i="4" s="1"/>
  <c r="F86" i="4" s="1"/>
  <c r="F109" i="4" s="1"/>
  <c r="F132" i="4" s="1"/>
  <c r="J132" i="4" s="1"/>
  <c r="D40" i="4"/>
  <c r="D63" i="4" s="1"/>
  <c r="D86" i="4" s="1"/>
  <c r="D109" i="4" s="1"/>
  <c r="D132" i="4" s="1"/>
  <c r="I132" i="4" s="1"/>
  <c r="A40" i="4"/>
  <c r="A63" i="4" s="1"/>
  <c r="A86" i="4" s="1"/>
  <c r="A109" i="4" s="1"/>
  <c r="A132" i="4" s="1"/>
  <c r="G39" i="4"/>
  <c r="G62" i="4" s="1"/>
  <c r="G85" i="4" s="1"/>
  <c r="G108" i="4" s="1"/>
  <c r="G131" i="4" s="1"/>
  <c r="F39" i="4"/>
  <c r="F62" i="4" s="1"/>
  <c r="F85" i="4" s="1"/>
  <c r="J85" i="4" s="1"/>
  <c r="D39" i="4"/>
  <c r="D62" i="4" s="1"/>
  <c r="D85" i="4" s="1"/>
  <c r="D108" i="4" s="1"/>
  <c r="D131" i="4" s="1"/>
  <c r="I131" i="4" s="1"/>
  <c r="A39" i="4"/>
  <c r="A62" i="4" s="1"/>
  <c r="A85" i="4" s="1"/>
  <c r="A108" i="4" s="1"/>
  <c r="A131" i="4" s="1"/>
  <c r="G38" i="4"/>
  <c r="G61" i="4" s="1"/>
  <c r="G84" i="4" s="1"/>
  <c r="G107" i="4" s="1"/>
  <c r="G130" i="4" s="1"/>
  <c r="F38" i="4"/>
  <c r="F61" i="4" s="1"/>
  <c r="F84" i="4" s="1"/>
  <c r="J84" i="4" s="1"/>
  <c r="D38" i="4"/>
  <c r="D61" i="4" s="1"/>
  <c r="D84" i="4" s="1"/>
  <c r="D107" i="4" s="1"/>
  <c r="D130" i="4" s="1"/>
  <c r="I130" i="4" s="1"/>
  <c r="A38" i="4"/>
  <c r="A61" i="4" s="1"/>
  <c r="A84" i="4" s="1"/>
  <c r="A107" i="4" s="1"/>
  <c r="A130" i="4" s="1"/>
  <c r="G37" i="4"/>
  <c r="G60" i="4" s="1"/>
  <c r="G83" i="4" s="1"/>
  <c r="G106" i="4" s="1"/>
  <c r="G129" i="4" s="1"/>
  <c r="F37" i="4"/>
  <c r="F60" i="4" s="1"/>
  <c r="F83" i="4" s="1"/>
  <c r="J83" i="4" s="1"/>
  <c r="D37" i="4"/>
  <c r="D60" i="4" s="1"/>
  <c r="D83" i="4" s="1"/>
  <c r="D106" i="4" s="1"/>
  <c r="D129" i="4" s="1"/>
  <c r="I129" i="4" s="1"/>
  <c r="A37" i="4"/>
  <c r="A60" i="4" s="1"/>
  <c r="A83" i="4" s="1"/>
  <c r="A106" i="4" s="1"/>
  <c r="A129" i="4" s="1"/>
  <c r="G36" i="4"/>
  <c r="G59" i="4" s="1"/>
  <c r="G82" i="4" s="1"/>
  <c r="G105" i="4" s="1"/>
  <c r="G128" i="4" s="1"/>
  <c r="F36" i="4"/>
  <c r="F59" i="4" s="1"/>
  <c r="J59" i="4" s="1"/>
  <c r="D36" i="4"/>
  <c r="D59" i="4" s="1"/>
  <c r="D82" i="4" s="1"/>
  <c r="D105" i="4" s="1"/>
  <c r="D128" i="4" s="1"/>
  <c r="I128" i="4" s="1"/>
  <c r="A36" i="4"/>
  <c r="A59" i="4" s="1"/>
  <c r="A82" i="4" s="1"/>
  <c r="A105" i="4" s="1"/>
  <c r="A128" i="4" s="1"/>
  <c r="G35" i="4"/>
  <c r="G58" i="4" s="1"/>
  <c r="G81" i="4" s="1"/>
  <c r="G104" i="4" s="1"/>
  <c r="G127" i="4" s="1"/>
  <c r="F35" i="4"/>
  <c r="F58" i="4" s="1"/>
  <c r="F81" i="4" s="1"/>
  <c r="J81" i="4" s="1"/>
  <c r="D35" i="4"/>
  <c r="D58" i="4" s="1"/>
  <c r="D81" i="4" s="1"/>
  <c r="D104" i="4" s="1"/>
  <c r="D127" i="4" s="1"/>
  <c r="I127" i="4" s="1"/>
  <c r="A35" i="4"/>
  <c r="A58" i="4" s="1"/>
  <c r="A81" i="4" s="1"/>
  <c r="A104" i="4" s="1"/>
  <c r="A127" i="4" s="1"/>
  <c r="G34" i="4"/>
  <c r="G57" i="4" s="1"/>
  <c r="G80" i="4" s="1"/>
  <c r="G103" i="4" s="1"/>
  <c r="G126" i="4" s="1"/>
  <c r="F34" i="4"/>
  <c r="F57" i="4" s="1"/>
  <c r="J57" i="4" s="1"/>
  <c r="D34" i="4"/>
  <c r="D57" i="4" s="1"/>
  <c r="D80" i="4" s="1"/>
  <c r="D103" i="4" s="1"/>
  <c r="D126" i="4" s="1"/>
  <c r="I126" i="4" s="1"/>
  <c r="A34" i="4"/>
  <c r="A57" i="4" s="1"/>
  <c r="A80" i="4" s="1"/>
  <c r="A103" i="4" s="1"/>
  <c r="A126" i="4" s="1"/>
  <c r="G33" i="4"/>
  <c r="G56" i="4" s="1"/>
  <c r="G79" i="4" s="1"/>
  <c r="G102" i="4" s="1"/>
  <c r="G125" i="4" s="1"/>
  <c r="F33" i="4"/>
  <c r="F56" i="4" s="1"/>
  <c r="J56" i="4" s="1"/>
  <c r="D33" i="4"/>
  <c r="D56" i="4" s="1"/>
  <c r="D79" i="4" s="1"/>
  <c r="D102" i="4" s="1"/>
  <c r="D125" i="4" s="1"/>
  <c r="I125" i="4" s="1"/>
  <c r="A33" i="4"/>
  <c r="A56" i="4" s="1"/>
  <c r="A79" i="4" s="1"/>
  <c r="A102" i="4" s="1"/>
  <c r="A125" i="4" s="1"/>
  <c r="G32" i="4"/>
  <c r="G55" i="4" s="1"/>
  <c r="G78" i="4" s="1"/>
  <c r="G101" i="4" s="1"/>
  <c r="G124" i="4" s="1"/>
  <c r="F32" i="4"/>
  <c r="F55" i="4" s="1"/>
  <c r="F78" i="4" s="1"/>
  <c r="F101" i="4" s="1"/>
  <c r="F124" i="4" s="1"/>
  <c r="D32" i="4"/>
  <c r="D55" i="4" s="1"/>
  <c r="D78" i="4" s="1"/>
  <c r="D101" i="4" s="1"/>
  <c r="D124" i="4" s="1"/>
  <c r="I124" i="4" s="1"/>
  <c r="A32" i="4"/>
  <c r="A55" i="4" s="1"/>
  <c r="A78" i="4" s="1"/>
  <c r="A101" i="4" s="1"/>
  <c r="A124" i="4" s="1"/>
  <c r="G31" i="4"/>
  <c r="G54" i="4" s="1"/>
  <c r="G77" i="4" s="1"/>
  <c r="G100" i="4" s="1"/>
  <c r="G123" i="4" s="1"/>
  <c r="F31" i="4"/>
  <c r="F54" i="4" s="1"/>
  <c r="F77" i="4" s="1"/>
  <c r="F100" i="4" s="1"/>
  <c r="F123" i="4" s="1"/>
  <c r="K123" i="4" s="1"/>
  <c r="D31" i="4"/>
  <c r="D54" i="4" s="1"/>
  <c r="D77" i="4" s="1"/>
  <c r="D100" i="4" s="1"/>
  <c r="D123" i="4" s="1"/>
  <c r="I123" i="4" s="1"/>
  <c r="A31" i="4"/>
  <c r="A54" i="4" s="1"/>
  <c r="A77" i="4" s="1"/>
  <c r="A100" i="4" s="1"/>
  <c r="A123" i="4" s="1"/>
  <c r="G30" i="4"/>
  <c r="G53" i="4" s="1"/>
  <c r="G76" i="4" s="1"/>
  <c r="G99" i="4" s="1"/>
  <c r="G122" i="4" s="1"/>
  <c r="F30" i="4"/>
  <c r="F53" i="4" s="1"/>
  <c r="F76" i="4" s="1"/>
  <c r="D30" i="4"/>
  <c r="D53" i="4" s="1"/>
  <c r="D76" i="4" s="1"/>
  <c r="D99" i="4" s="1"/>
  <c r="D122" i="4" s="1"/>
  <c r="I122" i="4" s="1"/>
  <c r="A30" i="4"/>
  <c r="A53" i="4" s="1"/>
  <c r="A76" i="4" s="1"/>
  <c r="A99" i="4" s="1"/>
  <c r="A122" i="4" s="1"/>
  <c r="G29" i="4"/>
  <c r="G52" i="4" s="1"/>
  <c r="G75" i="4" s="1"/>
  <c r="G98" i="4" s="1"/>
  <c r="G121" i="4" s="1"/>
  <c r="F29" i="4"/>
  <c r="F52" i="4" s="1"/>
  <c r="F75" i="4" s="1"/>
  <c r="D29" i="4"/>
  <c r="D52" i="4" s="1"/>
  <c r="D75" i="4" s="1"/>
  <c r="D98" i="4" s="1"/>
  <c r="D121" i="4" s="1"/>
  <c r="I121" i="4" s="1"/>
  <c r="A29" i="4"/>
  <c r="A52" i="4" s="1"/>
  <c r="A75" i="4" s="1"/>
  <c r="A98" i="4" s="1"/>
  <c r="A121" i="4" s="1"/>
  <c r="G28" i="4"/>
  <c r="G51" i="4" s="1"/>
  <c r="G74" i="4" s="1"/>
  <c r="G97" i="4" s="1"/>
  <c r="G120" i="4" s="1"/>
  <c r="F28" i="4"/>
  <c r="F51" i="4" s="1"/>
  <c r="K51" i="4" s="1"/>
  <c r="D28" i="4"/>
  <c r="D51" i="4" s="1"/>
  <c r="D74" i="4" s="1"/>
  <c r="D97" i="4" s="1"/>
  <c r="D120" i="4" s="1"/>
  <c r="I120" i="4" s="1"/>
  <c r="A28" i="4"/>
  <c r="A51" i="4" s="1"/>
  <c r="A74" i="4" s="1"/>
  <c r="A97" i="4" s="1"/>
  <c r="A120" i="4" s="1"/>
  <c r="G27" i="4"/>
  <c r="G50" i="4" s="1"/>
  <c r="G73" i="4" s="1"/>
  <c r="G96" i="4" s="1"/>
  <c r="G119" i="4" s="1"/>
  <c r="F27" i="4"/>
  <c r="F50" i="4" s="1"/>
  <c r="F73" i="4" s="1"/>
  <c r="F96" i="4" s="1"/>
  <c r="J96" i="4" s="1"/>
  <c r="D27" i="4"/>
  <c r="D50" i="4" s="1"/>
  <c r="D73" i="4" s="1"/>
  <c r="D96" i="4" s="1"/>
  <c r="D119" i="4" s="1"/>
  <c r="I119" i="4" s="1"/>
  <c r="A27" i="4"/>
  <c r="A50" i="4" s="1"/>
  <c r="A73" i="4" s="1"/>
  <c r="A96" i="4" s="1"/>
  <c r="A119" i="4" s="1"/>
  <c r="G26" i="4"/>
  <c r="G49" i="4" s="1"/>
  <c r="G72" i="4" s="1"/>
  <c r="G95" i="4" s="1"/>
  <c r="G118" i="4" s="1"/>
  <c r="F26" i="4"/>
  <c r="F49" i="4" s="1"/>
  <c r="F72" i="4" s="1"/>
  <c r="J72" i="4" s="1"/>
  <c r="D26" i="4"/>
  <c r="D49" i="4" s="1"/>
  <c r="D72" i="4" s="1"/>
  <c r="D95" i="4" s="1"/>
  <c r="D118" i="4" s="1"/>
  <c r="I118" i="4" s="1"/>
  <c r="A26" i="4"/>
  <c r="A49" i="4" s="1"/>
  <c r="A72" i="4" s="1"/>
  <c r="A95" i="4" s="1"/>
  <c r="A118" i="4" s="1"/>
  <c r="G25" i="4"/>
  <c r="G48" i="4" s="1"/>
  <c r="G71" i="4" s="1"/>
  <c r="G94" i="4" s="1"/>
  <c r="G117" i="4" s="1"/>
  <c r="F25" i="4"/>
  <c r="F48" i="4" s="1"/>
  <c r="F71" i="4" s="1"/>
  <c r="F94" i="4" s="1"/>
  <c r="F117" i="4" s="1"/>
  <c r="J117" i="4" s="1"/>
  <c r="D25" i="4"/>
  <c r="D48" i="4" s="1"/>
  <c r="D71" i="4" s="1"/>
  <c r="D94" i="4" s="1"/>
  <c r="D117" i="4" s="1"/>
  <c r="I117" i="4" s="1"/>
  <c r="A25" i="4"/>
  <c r="A48" i="4" s="1"/>
  <c r="A71" i="4" s="1"/>
  <c r="A94" i="4" s="1"/>
  <c r="A117" i="4" s="1"/>
  <c r="I75" i="4" l="1"/>
  <c r="I72" i="4"/>
  <c r="I70" i="4"/>
  <c r="I35" i="4"/>
  <c r="I63" i="4"/>
  <c r="I61" i="4"/>
  <c r="I58" i="4"/>
  <c r="I110" i="4"/>
  <c r="I49" i="4"/>
  <c r="I109" i="4"/>
  <c r="I47" i="4"/>
  <c r="I38" i="4"/>
  <c r="I98" i="4"/>
  <c r="K65" i="4"/>
  <c r="K91" i="4"/>
  <c r="I71" i="4"/>
  <c r="I86" i="4"/>
  <c r="I84" i="4"/>
  <c r="I48" i="4"/>
  <c r="I97" i="4"/>
  <c r="I83" i="4"/>
  <c r="I60" i="4"/>
  <c r="I74" i="4"/>
  <c r="I37" i="4"/>
  <c r="I62" i="4"/>
  <c r="I50" i="4"/>
  <c r="I34" i="4"/>
  <c r="K93" i="4"/>
  <c r="I105" i="4"/>
  <c r="I93" i="4"/>
  <c r="I81" i="4"/>
  <c r="I69" i="4"/>
  <c r="I57" i="4"/>
  <c r="I45" i="4"/>
  <c r="I33" i="4"/>
  <c r="K44" i="4"/>
  <c r="I116" i="4"/>
  <c r="I104" i="4"/>
  <c r="I92" i="4"/>
  <c r="I80" i="4"/>
  <c r="I68" i="4"/>
  <c r="I56" i="4"/>
  <c r="I44" i="4"/>
  <c r="I32" i="4"/>
  <c r="I73" i="4"/>
  <c r="I59" i="4"/>
  <c r="I106" i="4"/>
  <c r="K32" i="4"/>
  <c r="I115" i="4"/>
  <c r="I103" i="4"/>
  <c r="I91" i="4"/>
  <c r="I79" i="4"/>
  <c r="I67" i="4"/>
  <c r="I55" i="4"/>
  <c r="I43" i="4"/>
  <c r="I31" i="4"/>
  <c r="I85" i="4"/>
  <c r="I108" i="4"/>
  <c r="J27" i="4"/>
  <c r="I82" i="4"/>
  <c r="I96" i="4"/>
  <c r="I36" i="4"/>
  <c r="I94" i="4"/>
  <c r="I46" i="4"/>
  <c r="I114" i="4"/>
  <c r="I102" i="4"/>
  <c r="I90" i="4"/>
  <c r="I78" i="4"/>
  <c r="I66" i="4"/>
  <c r="I54" i="4"/>
  <c r="I30" i="4"/>
  <c r="K75" i="4"/>
  <c r="K124" i="4"/>
  <c r="K64" i="4"/>
  <c r="K113" i="4"/>
  <c r="I113" i="4"/>
  <c r="I101" i="4"/>
  <c r="I89" i="4"/>
  <c r="I77" i="4"/>
  <c r="I53" i="4"/>
  <c r="I41" i="4"/>
  <c r="I29" i="4"/>
  <c r="I112" i="4"/>
  <c r="I100" i="4"/>
  <c r="I76" i="4"/>
  <c r="I64" i="4"/>
  <c r="I52" i="4"/>
  <c r="I40" i="4"/>
  <c r="I28" i="4"/>
  <c r="I99" i="4"/>
  <c r="I51" i="4"/>
  <c r="I39" i="4"/>
  <c r="I27" i="4"/>
  <c r="K112" i="4"/>
  <c r="K115" i="4"/>
  <c r="J86" i="4"/>
  <c r="K116" i="4"/>
  <c r="J64" i="4"/>
  <c r="K92" i="4"/>
  <c r="J63" i="4"/>
  <c r="K81" i="4"/>
  <c r="J61" i="4"/>
  <c r="K70" i="4"/>
  <c r="J52" i="4"/>
  <c r="K69" i="4"/>
  <c r="J51" i="4"/>
  <c r="K67" i="4"/>
  <c r="J49" i="4"/>
  <c r="K58" i="4"/>
  <c r="K76" i="4"/>
  <c r="F74" i="4"/>
  <c r="J74" i="4" s="1"/>
  <c r="J124" i="4"/>
  <c r="J39" i="4"/>
  <c r="K57" i="4"/>
  <c r="J123" i="4"/>
  <c r="J38" i="4"/>
  <c r="K55" i="4"/>
  <c r="K56" i="4"/>
  <c r="J25" i="4"/>
  <c r="J92" i="4"/>
  <c r="J68" i="4"/>
  <c r="J44" i="4"/>
  <c r="J32" i="4"/>
  <c r="K86" i="4"/>
  <c r="K62" i="4"/>
  <c r="K50" i="4"/>
  <c r="K38" i="4"/>
  <c r="K26" i="4"/>
  <c r="J115" i="4"/>
  <c r="J91" i="4"/>
  <c r="J67" i="4"/>
  <c r="J55" i="4"/>
  <c r="J43" i="4"/>
  <c r="J31" i="4"/>
  <c r="K109" i="4"/>
  <c r="K85" i="4"/>
  <c r="K73" i="4"/>
  <c r="K61" i="4"/>
  <c r="K49" i="4"/>
  <c r="K37" i="4"/>
  <c r="K25" i="4"/>
  <c r="J90" i="4"/>
  <c r="J78" i="4"/>
  <c r="J66" i="4"/>
  <c r="J54" i="4"/>
  <c r="J42" i="4"/>
  <c r="J30" i="4"/>
  <c r="K132" i="4"/>
  <c r="K96" i="4"/>
  <c r="K84" i="4"/>
  <c r="K72" i="4"/>
  <c r="K60" i="4"/>
  <c r="K48" i="4"/>
  <c r="K36" i="4"/>
  <c r="D65" i="4"/>
  <c r="I65" i="4" s="1"/>
  <c r="J101" i="4"/>
  <c r="J89" i="4"/>
  <c r="J77" i="4"/>
  <c r="J65" i="4"/>
  <c r="J53" i="4"/>
  <c r="J41" i="4"/>
  <c r="J29" i="4"/>
  <c r="K83" i="4"/>
  <c r="K71" i="4"/>
  <c r="K59" i="4"/>
  <c r="K47" i="4"/>
  <c r="K35" i="4"/>
  <c r="J100" i="4"/>
  <c r="J76" i="4"/>
  <c r="J40" i="4"/>
  <c r="J28" i="4"/>
  <c r="K94" i="4"/>
  <c r="K46" i="4"/>
  <c r="K34" i="4"/>
  <c r="K45" i="4"/>
  <c r="K33" i="4"/>
  <c r="J50" i="4"/>
  <c r="J37" i="4"/>
  <c r="J60" i="4"/>
  <c r="J48" i="4"/>
  <c r="J36" i="4"/>
  <c r="K90" i="4"/>
  <c r="K78" i="4"/>
  <c r="K66" i="4"/>
  <c r="K54" i="4"/>
  <c r="K42" i="4"/>
  <c r="K30" i="4"/>
  <c r="J109" i="4"/>
  <c r="J73" i="4"/>
  <c r="K31" i="4"/>
  <c r="J71" i="4"/>
  <c r="J47" i="4"/>
  <c r="J35" i="4"/>
  <c r="K101" i="4"/>
  <c r="K89" i="4"/>
  <c r="K77" i="4"/>
  <c r="K53" i="4"/>
  <c r="K41" i="4"/>
  <c r="K29" i="4"/>
  <c r="J62" i="4"/>
  <c r="K68" i="4"/>
  <c r="K43" i="4"/>
  <c r="J94" i="4"/>
  <c r="J70" i="4"/>
  <c r="J58" i="4"/>
  <c r="J46" i="4"/>
  <c r="J34" i="4"/>
  <c r="K100" i="4"/>
  <c r="K52" i="4"/>
  <c r="K40" i="4"/>
  <c r="K28" i="4"/>
  <c r="J93" i="4"/>
  <c r="J69" i="4"/>
  <c r="J45" i="4"/>
  <c r="J33" i="4"/>
  <c r="K63" i="4"/>
  <c r="K39" i="4"/>
  <c r="K27" i="4"/>
  <c r="F139" i="4"/>
  <c r="F99" i="4"/>
  <c r="F108" i="4"/>
  <c r="F95" i="4"/>
  <c r="F135" i="4"/>
  <c r="F98" i="4"/>
  <c r="F107" i="4"/>
  <c r="F138" i="4"/>
  <c r="F136" i="4"/>
  <c r="F119" i="4"/>
  <c r="F114" i="4"/>
  <c r="F82" i="4"/>
  <c r="F97" i="4"/>
  <c r="F106" i="4"/>
  <c r="F80" i="4"/>
  <c r="F104" i="4"/>
  <c r="F79" i="4"/>
  <c r="F87" i="4"/>
  <c r="F88" i="4"/>
  <c r="K74" i="4" l="1"/>
  <c r="J107" i="4"/>
  <c r="K107" i="4"/>
  <c r="K135" i="4"/>
  <c r="J135" i="4"/>
  <c r="J98" i="4"/>
  <c r="K98" i="4"/>
  <c r="J106" i="4"/>
  <c r="K106" i="4"/>
  <c r="K104" i="4"/>
  <c r="J104" i="4"/>
  <c r="J108" i="4"/>
  <c r="K108" i="4"/>
  <c r="K88" i="4"/>
  <c r="J88" i="4"/>
  <c r="K87" i="4"/>
  <c r="J87" i="4"/>
  <c r="J95" i="4"/>
  <c r="K95" i="4"/>
  <c r="K139" i="4"/>
  <c r="J139" i="4"/>
  <c r="K114" i="4"/>
  <c r="J114" i="4"/>
  <c r="J97" i="4"/>
  <c r="K97" i="4"/>
  <c r="J82" i="4"/>
  <c r="K82" i="4"/>
  <c r="D88" i="4"/>
  <c r="I88" i="4" s="1"/>
  <c r="K79" i="4"/>
  <c r="J79" i="4"/>
  <c r="K99" i="4"/>
  <c r="J99" i="4"/>
  <c r="K136" i="4"/>
  <c r="J136" i="4"/>
  <c r="K80" i="4"/>
  <c r="J80" i="4"/>
  <c r="J119" i="4"/>
  <c r="K119" i="4"/>
  <c r="K138" i="4"/>
  <c r="J138" i="4"/>
  <c r="F102" i="4"/>
  <c r="F130" i="4"/>
  <c r="F121" i="4"/>
  <c r="F103" i="4"/>
  <c r="F129" i="4"/>
  <c r="F110" i="4"/>
  <c r="F127" i="4"/>
  <c r="F137" i="4"/>
  <c r="F120" i="4"/>
  <c r="F131" i="4"/>
  <c r="F122" i="4"/>
  <c r="F111" i="4"/>
  <c r="F105" i="4"/>
  <c r="F118" i="4"/>
  <c r="K127" i="4" l="1"/>
  <c r="J127" i="4"/>
  <c r="J110" i="4"/>
  <c r="K110" i="4"/>
  <c r="J129" i="4"/>
  <c r="K129" i="4"/>
  <c r="J118" i="4"/>
  <c r="K118" i="4"/>
  <c r="J105" i="4"/>
  <c r="K105" i="4"/>
  <c r="K102" i="4"/>
  <c r="J102" i="4"/>
  <c r="K111" i="4"/>
  <c r="J111" i="4"/>
  <c r="J122" i="4"/>
  <c r="K122" i="4"/>
  <c r="K137" i="4"/>
  <c r="J137" i="4"/>
  <c r="K103" i="4"/>
  <c r="J103" i="4"/>
  <c r="J121" i="4"/>
  <c r="K121" i="4"/>
  <c r="J130" i="4"/>
  <c r="K130" i="4"/>
  <c r="D111" i="4"/>
  <c r="I111" i="4" s="1"/>
  <c r="J131" i="4"/>
  <c r="K131" i="4"/>
  <c r="J120" i="4"/>
  <c r="K120" i="4"/>
  <c r="F134" i="4"/>
  <c r="F133" i="4"/>
  <c r="F126" i="4"/>
  <c r="F128" i="4"/>
  <c r="F125" i="4"/>
  <c r="J133" i="4" l="1"/>
  <c r="K133" i="4"/>
  <c r="K125" i="4"/>
  <c r="J125" i="4"/>
  <c r="K128" i="4"/>
  <c r="J128" i="4"/>
  <c r="K126" i="4"/>
  <c r="J126" i="4"/>
  <c r="J134" i="4"/>
  <c r="K134" i="4"/>
  <c r="D134" i="4"/>
  <c r="I134" i="4" s="1"/>
</calcChain>
</file>

<file path=xl/sharedStrings.xml><?xml version="1.0" encoding="utf-8"?>
<sst xmlns="http://schemas.openxmlformats.org/spreadsheetml/2006/main" count="266" uniqueCount="50">
  <si>
    <t>Cód.Cliente</t>
  </si>
  <si>
    <t>Ano</t>
  </si>
  <si>
    <t>Mês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</si>
  <si>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</si>
  <si>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</si>
  <si>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</si>
  <si>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</si>
  <si>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</si>
  <si>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</si>
  <si>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</si>
  <si>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</si>
  <si>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</si>
  <si>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</si>
  <si>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</si>
  <si>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</si>
  <si>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</si>
  <si>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</si>
  <si>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</si>
  <si>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</si>
  <si>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</si>
  <si>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</si>
  <si>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</si>
  <si>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</si>
  <si>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</si>
  <si>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</si>
  <si>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</si>
  <si>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Desconto Campanha (%)</t>
  </si>
  <si>
    <t>Segmento</t>
  </si>
  <si>
    <t>Construtora</t>
  </si>
  <si>
    <t>Varejo</t>
  </si>
  <si>
    <t>Distribuidor</t>
  </si>
  <si>
    <t>Volume de vendas (t)</t>
  </si>
  <si>
    <t>Custos de produção (R$/t)</t>
  </si>
  <si>
    <t>Preço de Venda Líquido (R$/t)</t>
  </si>
  <si>
    <t>Rótulos de Linha</t>
  </si>
  <si>
    <t>Total Geral</t>
  </si>
  <si>
    <t>Rótulos de Coluna</t>
  </si>
  <si>
    <t>Soma de Volume de vendas (t)</t>
  </si>
  <si>
    <t>Média de Volume de vendas (t)</t>
  </si>
  <si>
    <t>Período</t>
  </si>
  <si>
    <t>Faturamento</t>
  </si>
  <si>
    <t>Lucro Total</t>
  </si>
  <si>
    <t>Soma de Faturamento</t>
  </si>
  <si>
    <t>Soma de Preço Ponderado</t>
  </si>
  <si>
    <t>Soma de Lucro Total</t>
  </si>
  <si>
    <t>Antes da campanha</t>
  </si>
  <si>
    <t>Depois da campanha</t>
  </si>
  <si>
    <t>Voto+</t>
  </si>
  <si>
    <t>Soma de Lucro Total2</t>
  </si>
  <si>
    <t>Preços Ponderados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</si>
</sst>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_-;\-* #,##0.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0"/>
      <name val="Verdana"/>
      <family val="2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C4CA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0" applyNumberFormat="1"/>
    <xf numFmtId="43" fontId="0" fillId="0" borderId="0" xfId="0" applyNumberFormat="1"/>
    <xf numFmtId="9" fontId="0" fillId="0" borderId="0" xfId="2" applyFont="1"/>
    <xf numFmtId="164" fontId="0" fillId="0" borderId="0" xfId="2" applyNumberFormat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3" applyFont="1"/>
    <xf numFmtId="44" fontId="0" fillId="0" borderId="0" xfId="0" applyNumberFormat="1"/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horizontal="left" vertical="center"/>
    </xf>
    <xf numFmtId="10" fontId="0" fillId="0" borderId="0" xfId="0" applyNumberFormat="1"/>
    <xf numFmtId="0" fontId="2" fillId="0" borderId="0" xfId="0" applyFont="1"/>
    <xf numFmtId="44" fontId="2" fillId="0" borderId="0" xfId="0" applyNumberFormat="1" applyFont="1"/>
    <xf numFmtId="165" fontId="2" fillId="0" borderId="0" xfId="0" applyNumberFormat="1" applyFont="1"/>
    <xf numFmtId="0" fontId="4" fillId="2" borderId="0" xfId="0" applyFont="1" applyFill="1"/>
    <xf numFmtId="0" fontId="5" fillId="2" borderId="0" xfId="0" applyFont="1" applyFill="1"/>
    <xf numFmtId="43" fontId="2" fillId="0" borderId="0" xfId="0" applyNumberFormat="1" applyFont="1"/>
    <xf numFmtId="0" fontId="3" fillId="2" borderId="0" xfId="0" applyFont="1" applyFill="1" applyAlignment="1">
      <alignment horizontal="right" vertic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817"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-&quot;R$&quot;\ * #,##0.00_-;\-&quot;R$&quot;\ * #,##0.00_-;_-&quot;R$&quot;\ 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numFmt numFmtId="35" formatCode="_-* #,##0.00_-;\-* #,##0.00_-;_-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ill>
        <patternFill>
          <bgColor rgb="FF0C4CA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ill>
        <patternFill patternType="solid">
          <bgColor rgb="FF0000BF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_-;\-* #,##0.0_-;_-* &quot;-&quot;??_-;_-@_-"/>
    </dxf>
    <dxf>
      <fill>
        <patternFill>
          <bgColor rgb="FF0000BF"/>
        </patternFill>
      </fill>
    </dxf>
  </dxfs>
  <tableStyles count="1" defaultTableStyle="TableStyleMedium2" defaultPivotStyle="PivotStyleLight16">
    <tableStyle name="Estilo de Tabela Dinâmica 1" table="0" count="1" xr9:uid="{F4BCF9FF-E8F1-443C-9359-8DEE699E4A8A}">
      <tableStyleElement type="headerRow" dxfId="816"/>
    </tableStyle>
  </tableStyles>
  <colors>
    <mruColors>
      <color rgb="FF96E637"/>
      <color rgb="FF0000BF"/>
      <color rgb="FF0C4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- Estágio Processos Comerciais teste.xlsx]Tabelas dinâmicas!Tabelateste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8064800723438982E-2"/>
          <c:y val="4.5267489711934158E-2"/>
          <c:w val="0.73689655045846114"/>
          <c:h val="0.90946502057613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dinâmicas'!$B$23:$B$24</c:f>
              <c:strCache>
                <c:ptCount val="1"/>
                <c:pt idx="0">
                  <c:v>Depois da campanha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dinâmicas'!$A$25:$A$29</c:f>
              <c:strCache>
                <c:ptCount val="5"/>
                <c:pt idx="0">
                  <c:v>A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O</c:v>
                </c:pt>
              </c:strCache>
            </c:strRef>
          </c:cat>
          <c:val>
            <c:numRef>
              <c:f>'Tabelas dinâmicas'!$B$25:$B$29</c:f>
              <c:numCache>
                <c:formatCode>_("R$"* #,##0.00_);_("R$"* \(#,##0.00\);_("R$"* "-"??_);_(@_)</c:formatCode>
                <c:ptCount val="5"/>
                <c:pt idx="0">
                  <c:v>298273.43361220229</c:v>
                </c:pt>
                <c:pt idx="1">
                  <c:v>442812.231018372</c:v>
                </c:pt>
                <c:pt idx="2">
                  <c:v>456867.48576650873</c:v>
                </c:pt>
                <c:pt idx="3">
                  <c:v>519222.4879973291</c:v>
                </c:pt>
                <c:pt idx="4">
                  <c:v>639330.9347762682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3-4CF8-94A6-81F0A3F4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273119"/>
        <c:axId val="1614274079"/>
      </c:barChart>
      <c:catAx>
        <c:axId val="161427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274079"/>
        <c:crosses val="autoZero"/>
        <c:auto val="1"/>
        <c:lblAlgn val="ctr"/>
        <c:lblOffset val="100"/>
        <c:noMultiLvlLbl val="0"/>
      </c:catAx>
      <c:valAx>
        <c:axId val="16142740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427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71509631045566"/>
          <c:y val="0.38708823434107764"/>
          <c:w val="0.19937158820471593"/>
          <c:h val="0.14763423090632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- Estágio Processos Comerciais teste.xlsx]Tabelas dinâmicas!Tabela dinâmica27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Lucro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'Tabelas dinâmicas'!$E$23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cat>
            <c:strRef>
              <c:f>'Tabelas dinâmicas'!$D$24:$D$29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'Tabelas dinâmicas'!$E$24:$E$29</c:f>
              <c:numCache>
                <c:formatCode>_("R$"* #,##0.00_);_("R$"* \(#,##0.00\);_("R$"* "-"??_);_(@_)</c:formatCode>
                <c:ptCount val="6"/>
                <c:pt idx="0">
                  <c:v>1591711.8788653966</c:v>
                </c:pt>
                <c:pt idx="1">
                  <c:v>1618512.7912961955</c:v>
                </c:pt>
                <c:pt idx="2">
                  <c:v>1622423.1783390748</c:v>
                </c:pt>
                <c:pt idx="3">
                  <c:v>1713762.8577913835</c:v>
                </c:pt>
                <c:pt idx="4">
                  <c:v>1664243.7451048219</c:v>
                </c:pt>
                <c:pt idx="5">
                  <c:v>1758747.2072326681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0-4620-8E6A-D927B9DBB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185759"/>
        <c:axId val="1614184799"/>
      </c:areaChart>
      <c:catAx>
        <c:axId val="1614185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184799"/>
        <c:crosses val="autoZero"/>
        <c:auto val="1"/>
        <c:lblAlgn val="ctr"/>
        <c:lblOffset val="100"/>
        <c:noMultiLvlLbl val="0"/>
      </c:catAx>
      <c:valAx>
        <c:axId val="16141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18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- Estágio Processos Comerciais teste.xlsx]Tabelas dinâmicas!Tabela dinâmica28</c:name>
    <c:fmtId val="11"/>
  </c:pivotSource>
  <c:chart>
    <c:autoTitleDeleted val="0"/>
    <c:pivotFmts>
      <c:pivotFmt>
        <c:idx val="0"/>
        <c:spPr>
          <a:solidFill>
            <a:srgbClr val="96E6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6E6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6E6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B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+1,55%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0000B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+9,90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0000B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+9,51%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341875665734409"/>
          <c:y val="4.4989775051124746E-2"/>
          <c:w val="0.61152900894762741"/>
          <c:h val="0.880906880504967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dinâmicas'!$H$23:$H$24</c:f>
              <c:strCache>
                <c:ptCount val="1"/>
                <c:pt idx="0">
                  <c:v>Antes da campanha</c:v>
                </c:pt>
              </c:strCache>
            </c:strRef>
          </c:tx>
          <c:spPr>
            <a:solidFill>
              <a:srgbClr val="96E637"/>
            </a:solidFill>
            <a:ln>
              <a:noFill/>
            </a:ln>
            <a:effectLst/>
          </c:spPr>
          <c:invertIfNegative val="0"/>
          <c:cat>
            <c:strRef>
              <c:f>'Tabelas dinâmicas'!$G$25:$G$27</c:f>
              <c:strCache>
                <c:ptCount val="3"/>
                <c:pt idx="0">
                  <c:v>Distribuidor</c:v>
                </c:pt>
                <c:pt idx="1">
                  <c:v>Varejo</c:v>
                </c:pt>
                <c:pt idx="2">
                  <c:v>Construtora</c:v>
                </c:pt>
              </c:strCache>
            </c:strRef>
          </c:cat>
          <c:val>
            <c:numRef>
              <c:f>'Tabelas dinâmicas'!$H$25:$H$27</c:f>
              <c:numCache>
                <c:formatCode>_("R$"* #,##0.00_);_("R$"* \(#,##0.00\);_("R$"* "-"??_);_(@_)</c:formatCode>
                <c:ptCount val="3"/>
                <c:pt idx="0">
                  <c:v>2021301.4533680882</c:v>
                </c:pt>
                <c:pt idx="1">
                  <c:v>1407707.1326660519</c:v>
                </c:pt>
                <c:pt idx="2">
                  <c:v>1403639.2624665275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8-4BE4-B5E2-2E7010D0189C}"/>
            </c:ext>
          </c:extLst>
        </c:ser>
        <c:ser>
          <c:idx val="1"/>
          <c:order val="1"/>
          <c:tx>
            <c:strRef>
              <c:f>'Tabelas dinâmicas'!$I$23:$I$24</c:f>
              <c:strCache>
                <c:ptCount val="1"/>
                <c:pt idx="0">
                  <c:v>Depois da campanha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48-4BE4-B5E2-2E7010D0189C}"/>
              </c:ext>
            </c:extLst>
          </c:dPt>
          <c:dPt>
            <c:idx val="1"/>
            <c:invertIfNegative val="0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8-4BE4-B5E2-2E7010D0189C}"/>
              </c:ext>
            </c:extLst>
          </c:dPt>
          <c:dPt>
            <c:idx val="2"/>
            <c:invertIfNegative val="0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48-4BE4-B5E2-2E7010D018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+1,55%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948-4BE4-B5E2-2E7010D018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+9,90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948-4BE4-B5E2-2E7010D018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+9,51%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948-4BE4-B5E2-2E7010D018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dinâmicas'!$G$25:$G$27</c:f>
              <c:strCache>
                <c:ptCount val="3"/>
                <c:pt idx="0">
                  <c:v>Distribuidor</c:v>
                </c:pt>
                <c:pt idx="1">
                  <c:v>Varejo</c:v>
                </c:pt>
                <c:pt idx="2">
                  <c:v>Construtora</c:v>
                </c:pt>
              </c:strCache>
            </c:strRef>
          </c:cat>
          <c:val>
            <c:numRef>
              <c:f>'Tabelas dinâmicas'!$I$25:$I$27</c:f>
              <c:numCache>
                <c:formatCode>_("R$"* #,##0.00_);_("R$"* \(#,##0.00\);_("R$"* "-"??_);_(@_)</c:formatCode>
                <c:ptCount val="3"/>
                <c:pt idx="0">
                  <c:v>2052629.0422049677</c:v>
                </c:pt>
                <c:pt idx="1">
                  <c:v>1547010.8482886425</c:v>
                </c:pt>
                <c:pt idx="2">
                  <c:v>1537113.919635264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8-4BE4-B5E2-2E7010D01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283199"/>
        <c:axId val="1614294239"/>
      </c:barChart>
      <c:catAx>
        <c:axId val="161428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294239"/>
        <c:crosses val="autoZero"/>
        <c:auto val="1"/>
        <c:lblAlgn val="ctr"/>
        <c:lblOffset val="100"/>
        <c:noMultiLvlLbl val="0"/>
      </c:catAx>
      <c:valAx>
        <c:axId val="16142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28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5178634644957"/>
          <c:y val="0.31970178574303981"/>
          <c:w val="0.20252886844185375"/>
          <c:h val="0.25425696021126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241881</xdr:colOff>
      <xdr:row>1</xdr:row>
      <xdr:rowOff>48799</xdr:rowOff>
    </xdr:from>
    <xdr:ext cx="9406944" cy="233127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1352C0C-8AB1-016A-553D-61CF6740F0B7}"/>
            </a:ext>
          </a:extLst>
        </xdr:cNvPr>
        <xdr:cNvSpPr txBox="1"/>
      </xdr:nvSpPr>
      <xdr:spPr>
        <a:xfrm rot="10800000" flipH="1" flipV="1">
          <a:off x="241881" y="239299"/>
          <a:ext cx="9406944" cy="233127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Durante</a:t>
          </a:r>
          <a:r>
            <a:rPr lang="pt-BR" sz="1100" baseline="0"/>
            <a:t> o 2 trimestre e 2025 a empresa Voto+ decidiu fazer uma campanha e concedeu um % de desconto para seus clientes com o objetivo de melhorar o volume de vendas e aumentar o seu lucro. Na base "Acompanhamento campanha" temos o historico de volumes, preços e custos dessa empresa. Com base nesses dados, responda as seguintes perguntas:</a:t>
          </a:r>
        </a:p>
        <a:p>
          <a:endParaRPr lang="pt-BR" sz="1100" baseline="0"/>
        </a:p>
        <a:p>
          <a:r>
            <a:rPr lang="pt-BR" sz="1100" baseline="0"/>
            <a:t>1) Montar uma Tabela Dinâmica com as seguintes infos:</a:t>
          </a:r>
        </a:p>
        <a:p>
          <a:r>
            <a:rPr lang="pt-BR" sz="1100" baseline="0"/>
            <a:t>	a. Preço médio de venda ponderado antes e depois da campanha por segmento</a:t>
          </a:r>
        </a:p>
        <a:p>
          <a:r>
            <a:rPr lang="pt-BR" sz="1100" baseline="0"/>
            <a:t>	b. Volume médio de venda antes e depois da campanha</a:t>
          </a:r>
        </a:p>
        <a:p>
          <a:endParaRPr lang="pt-BR" sz="1100" baseline="0"/>
        </a:p>
        <a:p>
          <a:r>
            <a:rPr lang="pt-BR" sz="1100" baseline="0"/>
            <a:t>2) Como voce avalia o resultado da campanha?</a:t>
          </a:r>
        </a:p>
        <a:p>
          <a:endParaRPr lang="pt-BR" sz="1100" baseline="0"/>
        </a:p>
        <a:p>
          <a:r>
            <a:rPr lang="pt-BR" sz="1100" baseline="0"/>
            <a:t>3) A campanha foi mais efetiva para algum segmento?</a:t>
          </a:r>
        </a:p>
        <a:p>
          <a:endParaRPr lang="pt-BR" sz="1100" baseline="0"/>
        </a:p>
        <a:p>
          <a:r>
            <a:rPr lang="pt-BR" sz="1100" baseline="0"/>
            <a:t>4) Montar uma tabela com os melhores 5 clientes da campanha e seus resultados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9527</xdr:colOff>
      <xdr:row>0</xdr:row>
      <xdr:rowOff>1</xdr:rowOff>
    </xdr:from>
    <xdr:to>
      <xdr:col>0</xdr:col>
      <xdr:colOff>647700</xdr:colOff>
      <xdr:row>0</xdr:row>
      <xdr:rowOff>638174</xdr:rowOff>
    </xdr:to>
    <xdr:pic>
      <xdr:nvPicPr>
        <xdr:cNvPr id="5" name="Imagem 4" descr="Votorantim Cimentos - 99 Empregos">
          <a:extLst>
            <a:ext uri="{FF2B5EF4-FFF2-40B4-BE49-F238E27FC236}">
              <a16:creationId xmlns:a16="http://schemas.microsoft.com/office/drawing/2014/main" id="{55628033-6808-4243-2E4F-D5AD1C1A5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7" y="1"/>
          <a:ext cx="638173" cy="63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1361</xdr:colOff>
      <xdr:row>15</xdr:row>
      <xdr:rowOff>38100</xdr:rowOff>
    </xdr:from>
    <xdr:to>
      <xdr:col>8</xdr:col>
      <xdr:colOff>1304925</xdr:colOff>
      <xdr:row>31</xdr:row>
      <xdr:rowOff>97971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A11A60-FBDF-46B2-874D-5B725A4C0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152400</xdr:colOff>
      <xdr:row>1</xdr:row>
      <xdr:rowOff>190499</xdr:rowOff>
    </xdr:from>
    <xdr:to>
      <xdr:col>11</xdr:col>
      <xdr:colOff>523875</xdr:colOff>
      <xdr:row>11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ód.Cliente">
              <a:extLst>
                <a:ext uri="{FF2B5EF4-FFF2-40B4-BE49-F238E27FC236}">
                  <a16:creationId xmlns:a16="http://schemas.microsoft.com/office/drawing/2014/main" id="{A849EF49-4674-8C75-32E2-E390BE7552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.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838199"/>
              <a:ext cx="2266950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152400</xdr:colOff>
      <xdr:row>15</xdr:row>
      <xdr:rowOff>38100</xdr:rowOff>
    </xdr:from>
    <xdr:to>
      <xdr:col>15</xdr:col>
      <xdr:colOff>0</xdr:colOff>
      <xdr:row>31</xdr:row>
      <xdr:rowOff>87085</xdr:rowOff>
    </xdr:to>
    <xdr:graphicFrame macro="">
      <xdr:nvGraphicFramePr>
        <xdr:cNvPr id="13" name="Gráfico por mês">
          <a:extLst>
            <a:ext uri="{FF2B5EF4-FFF2-40B4-BE49-F238E27FC236}">
              <a16:creationId xmlns:a16="http://schemas.microsoft.com/office/drawing/2014/main" id="{64D62A71-3F2C-4EA9-B6F1-27E42E3D3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581025</xdr:colOff>
      <xdr:row>1</xdr:row>
      <xdr:rowOff>190499</xdr:rowOff>
    </xdr:from>
    <xdr:to>
      <xdr:col>14</xdr:col>
      <xdr:colOff>581025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o">
              <a:extLst>
                <a:ext uri="{FF2B5EF4-FFF2-40B4-BE49-F238E27FC236}">
                  <a16:creationId xmlns:a16="http://schemas.microsoft.com/office/drawing/2014/main" id="{0216A8BB-7DF9-7E7C-9081-E669A442E6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15900" y="838199"/>
              <a:ext cx="1828800" cy="1838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180974</xdr:colOff>
      <xdr:row>15</xdr:row>
      <xdr:rowOff>28575</xdr:rowOff>
    </xdr:from>
    <xdr:to>
      <xdr:col>3</xdr:col>
      <xdr:colOff>0</xdr:colOff>
      <xdr:row>31</xdr:row>
      <xdr:rowOff>85725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D064730-8E82-44B5-A9EB-57EABD09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 Galera" refreshedDate="46076.014809722219" createdVersion="8" refreshedVersion="8" minRefreshableVersion="3" recordCount="138" xr:uid="{7DF8A469-ABE0-444C-8958-B50E5AC846E6}">
  <cacheSource type="worksheet">
    <worksheetSource name="Tabela4"/>
  </cacheSource>
  <cacheFields count="11">
    <cacheField name="Cód.Cliente" numFmtId="0">
      <sharedItems count="23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  <s v="V"/>
        <s v="X"/>
      </sharedItems>
    </cacheField>
    <cacheField name="Segmento" numFmtId="0">
      <sharedItems count="3">
        <s v="Construtora"/>
        <s v="Varejo"/>
        <s v="Distribuidor"/>
      </sharedItems>
    </cacheField>
    <cacheField name="Ano" numFmtId="0">
      <sharedItems containsSemiMixedTypes="0" containsString="0" containsNumber="1" containsInteger="1" minValue="2025" maxValue="2025"/>
    </cacheField>
    <cacheField name="Mês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Volume de vendas (t)" numFmtId="165">
      <sharedItems containsSemiMixedTypes="0" containsString="0" containsNumber="1" minValue="79.02474046871852" maxValue="1162.6547611611263"/>
    </cacheField>
    <cacheField name="Preço de Venda Líquido (R$/t)" numFmtId="0">
      <sharedItems containsSemiMixedTypes="0" containsString="0" containsNumber="1" containsInteger="1" minValue="250" maxValue="392"/>
    </cacheField>
    <cacheField name="Custos de produção (R$/t)" numFmtId="0">
      <sharedItems containsSemiMixedTypes="0" containsString="0" containsNumber="1" containsInteger="1" minValue="112" maxValue="200"/>
    </cacheField>
    <cacheField name="Desconto Campanha (%)" numFmtId="9">
      <sharedItems containsSemiMixedTypes="0" containsString="0" containsNumber="1" minValue="-0.03" maxValue="0"/>
    </cacheField>
    <cacheField name="Período" numFmtId="0">
      <sharedItems count="2">
        <s v="Antes da campanha"/>
        <s v="Depois da campanha"/>
      </sharedItems>
    </cacheField>
    <cacheField name="Faturamento" numFmtId="44">
      <sharedItems containsSemiMixedTypes="0" containsString="0" containsNumber="1" minValue="23707.422140615556" maxValue="442971.46400238911"/>
    </cacheField>
    <cacheField name="Lucro Total" numFmtId="44">
      <sharedItems containsSemiMixedTypes="0" containsString="0" containsNumber="1" minValue="11458.587367964185" maxValue="234856.26175454751"/>
    </cacheField>
  </cacheFields>
  <extLst>
    <ext xmlns:x14="http://schemas.microsoft.com/office/spreadsheetml/2009/9/main" uri="{725AE2AE-9491-48be-B2B4-4EB974FC3084}">
      <x14:pivotCacheDefinition pivotCacheId="258401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 Galera" refreshedDate="46076.014809837965" createdVersion="8" refreshedVersion="8" minRefreshableVersion="3" recordCount="138" xr:uid="{68BF5AB6-ABC4-4515-B02D-B30E212C8041}">
  <cacheSource type="worksheet">
    <worksheetSource ref="A1:K139" sheet="Acompanhamento Campanha"/>
  </cacheSource>
  <cacheFields count="12">
    <cacheField name="Cód.Cliente" numFmtId="0">
      <sharedItems count="23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  <s v="V"/>
        <s v="X"/>
      </sharedItems>
    </cacheField>
    <cacheField name="Segmento" numFmtId="0">
      <sharedItems count="3">
        <s v="Construtora"/>
        <s v="Varejo"/>
        <s v="Distribuidor"/>
      </sharedItems>
    </cacheField>
    <cacheField name="Ano" numFmtId="0">
      <sharedItems containsSemiMixedTypes="0" containsString="0" containsNumber="1" containsInteger="1" minValue="2025" maxValue="2025"/>
    </cacheField>
    <cacheField name="Mês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Volume de vendas (t)" numFmtId="165">
      <sharedItems containsSemiMixedTypes="0" containsString="0" containsNumber="1" minValue="79.02474046871852" maxValue="1162.6547611611263"/>
    </cacheField>
    <cacheField name="Preço de Venda Líquido (R$/t)" numFmtId="0">
      <sharedItems containsSemiMixedTypes="0" containsString="0" containsNumber="1" containsInteger="1" minValue="250" maxValue="392"/>
    </cacheField>
    <cacheField name="Custos de produção (R$/t)" numFmtId="0">
      <sharedItems containsSemiMixedTypes="0" containsString="0" containsNumber="1" containsInteger="1" minValue="112" maxValue="200"/>
    </cacheField>
    <cacheField name="Desconto Campanha (%)" numFmtId="9">
      <sharedItems containsSemiMixedTypes="0" containsString="0" containsNumber="1" minValue="-0.03" maxValue="0"/>
    </cacheField>
    <cacheField name="Período" numFmtId="0">
      <sharedItems count="4">
        <s v="Antes da campanha"/>
        <s v="Depois da campanha"/>
        <s v="Antes" u="1"/>
        <s v="Depois" u="1"/>
      </sharedItems>
    </cacheField>
    <cacheField name="Faturamento" numFmtId="44">
      <sharedItems containsSemiMixedTypes="0" containsString="0" containsNumber="1" minValue="23707.422140615556" maxValue="442971.46400238911"/>
    </cacheField>
    <cacheField name="Lucro Total" numFmtId="44">
      <sharedItems containsSemiMixedTypes="0" containsString="0" containsNumber="1" minValue="11458.587367964185" maxValue="234856.26175454751"/>
    </cacheField>
    <cacheField name="Preço Ponderado" numFmtId="0" formula="Faturamento/'Volume de vendas (t)'" databaseField="0"/>
  </cacheFields>
  <extLst>
    <ext xmlns:x14="http://schemas.microsoft.com/office/spreadsheetml/2009/9/main" uri="{725AE2AE-9491-48be-B2B4-4EB974FC3084}">
      <x14:pivotCacheDefinition pivotCacheId="19999523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n v="2025"/>
    <x v="0"/>
    <n v="696.70520791414151"/>
    <n v="304"/>
    <n v="165"/>
    <n v="0"/>
    <x v="0"/>
    <n v="211798.38320589901"/>
    <n v="96842.023900065673"/>
  </r>
  <r>
    <x v="1"/>
    <x v="1"/>
    <n v="2025"/>
    <x v="0"/>
    <n v="763.28869103847137"/>
    <n v="268"/>
    <n v="163"/>
    <n v="0"/>
    <x v="0"/>
    <n v="204561.36919831033"/>
    <n v="80145.312559039492"/>
  </r>
  <r>
    <x v="2"/>
    <x v="2"/>
    <n v="2025"/>
    <x v="0"/>
    <n v="543.035951306372"/>
    <n v="322"/>
    <n v="193"/>
    <n v="0"/>
    <x v="0"/>
    <n v="174857.57632065177"/>
    <n v="70051.63771852199"/>
  </r>
  <r>
    <x v="3"/>
    <x v="0"/>
    <n v="2025"/>
    <x v="0"/>
    <n v="655.67863884524695"/>
    <n v="250"/>
    <n v="171"/>
    <n v="0"/>
    <x v="0"/>
    <n v="163919.65971131175"/>
    <n v="51798.61246877451"/>
  </r>
  <r>
    <x v="4"/>
    <x v="1"/>
    <n v="2025"/>
    <x v="0"/>
    <n v="700.63853776172346"/>
    <n v="321"/>
    <n v="192"/>
    <n v="0"/>
    <x v="0"/>
    <n v="224904.97062151323"/>
    <n v="90382.371371262328"/>
  </r>
  <r>
    <x v="5"/>
    <x v="2"/>
    <n v="2025"/>
    <x v="0"/>
    <n v="439.9354982057352"/>
    <n v="324"/>
    <n v="196"/>
    <n v="0"/>
    <x v="0"/>
    <n v="142539.10141865822"/>
    <n v="56311.743770334106"/>
  </r>
  <r>
    <x v="6"/>
    <x v="0"/>
    <n v="2025"/>
    <x v="0"/>
    <n v="235.69758313405376"/>
    <n v="322"/>
    <n v="174"/>
    <n v="0"/>
    <x v="0"/>
    <n v="75894.621769165315"/>
    <n v="34883.242303839957"/>
  </r>
  <r>
    <x v="7"/>
    <x v="1"/>
    <n v="2025"/>
    <x v="0"/>
    <n v="191.38158519069225"/>
    <n v="339"/>
    <n v="200"/>
    <n v="0"/>
    <x v="0"/>
    <n v="64878.357379644673"/>
    <n v="26602.040341506221"/>
  </r>
  <r>
    <x v="8"/>
    <x v="2"/>
    <n v="2025"/>
    <x v="0"/>
    <n v="167.85621919701742"/>
    <n v="389"/>
    <n v="149"/>
    <n v="0"/>
    <x v="0"/>
    <n v="65296.069267639781"/>
    <n v="40285.492607284184"/>
  </r>
  <r>
    <x v="9"/>
    <x v="0"/>
    <n v="2025"/>
    <x v="0"/>
    <n v="261.6041858596426"/>
    <n v="280"/>
    <n v="124"/>
    <n v="0"/>
    <x v="0"/>
    <n v="73249.172040699923"/>
    <n v="40810.252994104245"/>
  </r>
  <r>
    <x v="10"/>
    <x v="1"/>
    <n v="2025"/>
    <x v="0"/>
    <n v="102.41949515252402"/>
    <n v="339"/>
    <n v="155"/>
    <n v="0"/>
    <x v="0"/>
    <n v="34720.208856705642"/>
    <n v="18845.18710806442"/>
  </r>
  <r>
    <x v="11"/>
    <x v="2"/>
    <n v="2025"/>
    <x v="0"/>
    <n v="414.30139636378806"/>
    <n v="379"/>
    <n v="165"/>
    <n v="0"/>
    <x v="0"/>
    <n v="157020.22922187566"/>
    <n v="88660.498821850648"/>
  </r>
  <r>
    <x v="12"/>
    <x v="0"/>
    <n v="2025"/>
    <x v="0"/>
    <n v="625.70595039035595"/>
    <n v="276"/>
    <n v="195"/>
    <n v="0"/>
    <x v="0"/>
    <n v="172694.84230773823"/>
    <n v="50682.181981618829"/>
  </r>
  <r>
    <x v="13"/>
    <x v="1"/>
    <n v="2025"/>
    <x v="0"/>
    <n v="108.75498748847289"/>
    <n v="271"/>
    <n v="152"/>
    <n v="0"/>
    <x v="0"/>
    <n v="29472.601609376154"/>
    <n v="12941.843511128274"/>
  </r>
  <r>
    <x v="14"/>
    <x v="2"/>
    <n v="2025"/>
    <x v="0"/>
    <n v="922.74187393740181"/>
    <n v="381"/>
    <n v="179"/>
    <n v="0"/>
    <x v="0"/>
    <n v="351564.6539701501"/>
    <n v="186393.85853535516"/>
  </r>
  <r>
    <x v="15"/>
    <x v="0"/>
    <n v="2025"/>
    <x v="0"/>
    <n v="84.972839213675826"/>
    <n v="300"/>
    <n v="155"/>
    <n v="0"/>
    <x v="0"/>
    <n v="25491.851764102747"/>
    <n v="12321.061685982995"/>
  </r>
  <r>
    <x v="16"/>
    <x v="1"/>
    <n v="2025"/>
    <x v="0"/>
    <n v="792.15068160710564"/>
    <n v="323"/>
    <n v="151"/>
    <n v="0"/>
    <x v="0"/>
    <n v="255864.67015909511"/>
    <n v="136249.91723642216"/>
  </r>
  <r>
    <x v="17"/>
    <x v="2"/>
    <n v="2025"/>
    <x v="0"/>
    <n v="825.93778498871677"/>
    <n v="348"/>
    <n v="163"/>
    <n v="0"/>
    <x v="0"/>
    <n v="287426.34917607345"/>
    <n v="152798.4902229126"/>
  </r>
  <r>
    <x v="18"/>
    <x v="0"/>
    <n v="2025"/>
    <x v="0"/>
    <n v="502.53821912246332"/>
    <n v="392"/>
    <n v="112"/>
    <n v="0"/>
    <x v="0"/>
    <n v="196994.98189600563"/>
    <n v="140710.70135428972"/>
  </r>
  <r>
    <x v="19"/>
    <x v="1"/>
    <n v="2025"/>
    <x v="0"/>
    <n v="375.40649392020873"/>
    <n v="320"/>
    <n v="161"/>
    <n v="0"/>
    <x v="0"/>
    <n v="120130.07805446679"/>
    <n v="59689.63253331319"/>
  </r>
  <r>
    <x v="20"/>
    <x v="2"/>
    <n v="2025"/>
    <x v="0"/>
    <n v="275.20601461671055"/>
    <n v="362"/>
    <n v="146"/>
    <n v="0"/>
    <x v="0"/>
    <n v="99624.577291249225"/>
    <n v="59444.49915720948"/>
  </r>
  <r>
    <x v="21"/>
    <x v="0"/>
    <n v="2025"/>
    <x v="0"/>
    <n v="248.47912947739869"/>
    <n v="316"/>
    <n v="182"/>
    <n v="0"/>
    <x v="0"/>
    <n v="78519.40491485798"/>
    <n v="33296.203349971423"/>
  </r>
  <r>
    <x v="22"/>
    <x v="1"/>
    <n v="2025"/>
    <x v="0"/>
    <n v="390.64449494352317"/>
    <n v="293"/>
    <n v="161"/>
    <n v="0"/>
    <x v="0"/>
    <n v="114458.83701845229"/>
    <n v="51565.073332545056"/>
  </r>
  <r>
    <x v="0"/>
    <x v="0"/>
    <n v="2025"/>
    <x v="1"/>
    <n v="787.27688494297979"/>
    <n v="304"/>
    <n v="165"/>
    <n v="0"/>
    <x v="0"/>
    <n v="239332.17302266587"/>
    <n v="109431.48700707419"/>
  </r>
  <r>
    <x v="1"/>
    <x v="1"/>
    <n v="2025"/>
    <x v="1"/>
    <n v="686.9598219346243"/>
    <n v="268"/>
    <n v="163"/>
    <n v="0"/>
    <x v="0"/>
    <n v="184105.23227847932"/>
    <n v="72130.781303135547"/>
  </r>
  <r>
    <x v="2"/>
    <x v="2"/>
    <n v="2025"/>
    <x v="1"/>
    <n v="619.060984489264"/>
    <n v="322"/>
    <n v="193"/>
    <n v="0"/>
    <x v="0"/>
    <n v="199337.63700554302"/>
    <n v="79858.866999115053"/>
  </r>
  <r>
    <x v="3"/>
    <x v="0"/>
    <n v="2025"/>
    <x v="1"/>
    <n v="675.34899801060442"/>
    <n v="250"/>
    <n v="171"/>
    <n v="0"/>
    <x v="0"/>
    <n v="168837.2495026511"/>
    <n v="53352.570842837747"/>
  </r>
  <r>
    <x v="4"/>
    <x v="1"/>
    <n v="2025"/>
    <x v="1"/>
    <n v="658.60022549602002"/>
    <n v="321"/>
    <n v="192"/>
    <n v="0"/>
    <x v="0"/>
    <n v="211410.67238422242"/>
    <n v="84959.429088986581"/>
  </r>
  <r>
    <x v="5"/>
    <x v="2"/>
    <n v="2025"/>
    <x v="1"/>
    <n v="444.33485318779253"/>
    <n v="324"/>
    <n v="196"/>
    <n v="0"/>
    <x v="0"/>
    <n v="143964.49243284477"/>
    <n v="56874.861208037444"/>
  </r>
  <r>
    <x v="6"/>
    <x v="0"/>
    <n v="2025"/>
    <x v="1"/>
    <n v="238.05455896539431"/>
    <n v="322"/>
    <n v="174"/>
    <n v="0"/>
    <x v="0"/>
    <n v="76653.567986856971"/>
    <n v="35232.07472687836"/>
  </r>
  <r>
    <x v="7"/>
    <x v="1"/>
    <n v="2025"/>
    <x v="1"/>
    <n v="174.15724252352996"/>
    <n v="339"/>
    <n v="200"/>
    <n v="0"/>
    <x v="0"/>
    <n v="59039.305215476656"/>
    <n v="24207.856710770666"/>
  </r>
  <r>
    <x v="8"/>
    <x v="2"/>
    <n v="2025"/>
    <x v="1"/>
    <n v="166.17765700504725"/>
    <n v="389"/>
    <n v="149"/>
    <n v="0"/>
    <x v="0"/>
    <n v="64643.108574963378"/>
    <n v="39882.637681211338"/>
  </r>
  <r>
    <x v="9"/>
    <x v="0"/>
    <n v="2025"/>
    <x v="1"/>
    <n v="266.83626957683543"/>
    <n v="280"/>
    <n v="124"/>
    <n v="0"/>
    <x v="0"/>
    <n v="74714.155481513924"/>
    <n v="41626.458053986331"/>
  </r>
  <r>
    <x v="10"/>
    <x v="1"/>
    <n v="2025"/>
    <x v="1"/>
    <n v="111.63724971625119"/>
    <n v="339"/>
    <n v="155"/>
    <n v="0"/>
    <x v="0"/>
    <n v="37845.027653809157"/>
    <n v="20541.253947790217"/>
  </r>
  <r>
    <x v="11"/>
    <x v="2"/>
    <n v="2025"/>
    <x v="1"/>
    <n v="410.15838240015017"/>
    <n v="379"/>
    <n v="165"/>
    <n v="0"/>
    <x v="0"/>
    <n v="155450.02692965692"/>
    <n v="87773.893833632144"/>
  </r>
  <r>
    <x v="12"/>
    <x v="0"/>
    <n v="2025"/>
    <x v="1"/>
    <n v="600.67771237474165"/>
    <n v="276"/>
    <n v="195"/>
    <n v="0"/>
    <x v="0"/>
    <n v="165787.04861542871"/>
    <n v="48654.894702354075"/>
  </r>
  <r>
    <x v="13"/>
    <x v="1"/>
    <n v="2025"/>
    <x v="1"/>
    <n v="96.791938864740871"/>
    <n v="271"/>
    <n v="152"/>
    <n v="0"/>
    <x v="0"/>
    <n v="26230.615432344777"/>
    <n v="11518.240724904164"/>
  </r>
  <r>
    <x v="14"/>
    <x v="2"/>
    <n v="2025"/>
    <x v="1"/>
    <n v="1042.6983175492639"/>
    <n v="381"/>
    <n v="179"/>
    <n v="0"/>
    <x v="0"/>
    <n v="397268.05898626958"/>
    <n v="210625.06014495131"/>
  </r>
  <r>
    <x v="15"/>
    <x v="0"/>
    <n v="2025"/>
    <x v="1"/>
    <n v="85.82256760581258"/>
    <n v="300"/>
    <n v="155"/>
    <n v="0"/>
    <x v="0"/>
    <n v="25746.770281743775"/>
    <n v="12444.272302842825"/>
  </r>
  <r>
    <x v="16"/>
    <x v="1"/>
    <n v="2025"/>
    <x v="1"/>
    <n v="744.62164071067923"/>
    <n v="323"/>
    <n v="151"/>
    <n v="0"/>
    <x v="0"/>
    <n v="240512.78994954939"/>
    <n v="128074.92220223683"/>
  </r>
  <r>
    <x v="17"/>
    <x v="2"/>
    <n v="2025"/>
    <x v="1"/>
    <n v="751.60338433973232"/>
    <n v="348"/>
    <n v="163"/>
    <n v="0"/>
    <x v="0"/>
    <n v="261557.97775022686"/>
    <n v="139046.62610285048"/>
  </r>
  <r>
    <x v="18"/>
    <x v="0"/>
    <n v="2025"/>
    <x v="1"/>
    <n v="557.81742322593436"/>
    <n v="392"/>
    <n v="112"/>
    <n v="0"/>
    <x v="0"/>
    <n v="218664.42990456626"/>
    <n v="156188.87850326163"/>
  </r>
  <r>
    <x v="19"/>
    <x v="1"/>
    <n v="2025"/>
    <x v="1"/>
    <n v="394.17681861621918"/>
    <n v="320"/>
    <n v="161"/>
    <n v="0"/>
    <x v="0"/>
    <n v="126136.58195719014"/>
    <n v="62674.114159978846"/>
  </r>
  <r>
    <x v="20"/>
    <x v="2"/>
    <n v="2025"/>
    <x v="1"/>
    <n v="283.46219505521185"/>
    <n v="362"/>
    <n v="146"/>
    <n v="0"/>
    <x v="0"/>
    <n v="102613.31460998669"/>
    <n v="61227.83413192576"/>
  </r>
  <r>
    <x v="21"/>
    <x v="0"/>
    <n v="2025"/>
    <x v="1"/>
    <n v="270.84225113036462"/>
    <n v="316"/>
    <n v="182"/>
    <n v="0"/>
    <x v="0"/>
    <n v="85586.151357195224"/>
    <n v="36292.861651468862"/>
  </r>
  <r>
    <x v="22"/>
    <x v="1"/>
    <n v="2025"/>
    <x v="1"/>
    <n v="347.67360049973564"/>
    <n v="293"/>
    <n v="161"/>
    <n v="0"/>
    <x v="0"/>
    <n v="101868.36494642255"/>
    <n v="45892.915265965108"/>
  </r>
  <r>
    <x v="0"/>
    <x v="0"/>
    <n v="2025"/>
    <x v="2"/>
    <n v="689.73815583500004"/>
    <n v="304"/>
    <n v="165"/>
    <n v="0"/>
    <x v="0"/>
    <n v="209680.39937384002"/>
    <n v="95873.603661065004"/>
  </r>
  <r>
    <x v="1"/>
    <x v="1"/>
    <n v="2025"/>
    <x v="2"/>
    <n v="755.65580412808663"/>
    <n v="268"/>
    <n v="163"/>
    <n v="0"/>
    <x v="0"/>
    <n v="202515.75550632723"/>
    <n v="79343.859433449092"/>
  </r>
  <r>
    <x v="2"/>
    <x v="2"/>
    <n v="2025"/>
    <x v="2"/>
    <n v="543.035951306372"/>
    <n v="322"/>
    <n v="193"/>
    <n v="0"/>
    <x v="0"/>
    <n v="174857.57632065177"/>
    <n v="70051.63771852199"/>
  </r>
  <r>
    <x v="3"/>
    <x v="0"/>
    <n v="2025"/>
    <x v="2"/>
    <n v="629.45149329143703"/>
    <n v="250"/>
    <n v="171"/>
    <n v="0"/>
    <x v="0"/>
    <n v="157362.87332285926"/>
    <n v="49726.667970023525"/>
  </r>
  <r>
    <x v="4"/>
    <x v="1"/>
    <n v="2025"/>
    <x v="2"/>
    <n v="686.62576700648901"/>
    <n v="321"/>
    <n v="192"/>
    <n v="0"/>
    <x v="0"/>
    <n v="220406.87120908298"/>
    <n v="88574.723943837089"/>
  </r>
  <r>
    <x v="5"/>
    <x v="2"/>
    <n v="2025"/>
    <x v="2"/>
    <n v="413.53936831339104"/>
    <n v="324"/>
    <n v="196"/>
    <n v="0"/>
    <x v="0"/>
    <n v="133986.75533353869"/>
    <n v="52933.039144114053"/>
  </r>
  <r>
    <x v="6"/>
    <x v="0"/>
    <n v="2025"/>
    <x v="2"/>
    <n v="226.26967980869159"/>
    <n v="322"/>
    <n v="174"/>
    <n v="0"/>
    <x v="0"/>
    <n v="72858.836898398687"/>
    <n v="33487.912611686355"/>
  </r>
  <r>
    <x v="7"/>
    <x v="1"/>
    <n v="2025"/>
    <x v="2"/>
    <n v="162.67434741208839"/>
    <n v="339"/>
    <n v="200"/>
    <n v="0"/>
    <x v="0"/>
    <n v="55146.603772697963"/>
    <n v="22611.734290280288"/>
  </r>
  <r>
    <x v="8"/>
    <x v="2"/>
    <n v="2025"/>
    <x v="2"/>
    <n v="176.24903015686832"/>
    <n v="389"/>
    <n v="149"/>
    <n v="0"/>
    <x v="0"/>
    <n v="68560.87273102178"/>
    <n v="42299.767237648397"/>
  </r>
  <r>
    <x v="9"/>
    <x v="0"/>
    <n v="2025"/>
    <x v="2"/>
    <n v="258.98814400104618"/>
    <n v="280"/>
    <n v="124"/>
    <n v="0"/>
    <x v="0"/>
    <n v="72516.68032029293"/>
    <n v="40402.150464163205"/>
  </r>
  <r>
    <x v="10"/>
    <x v="1"/>
    <n v="2025"/>
    <x v="2"/>
    <n v="103.44369010404927"/>
    <n v="339"/>
    <n v="155"/>
    <n v="0"/>
    <x v="0"/>
    <n v="35067.410945272699"/>
    <n v="19033.638979145064"/>
  </r>
  <r>
    <x v="11"/>
    <x v="2"/>
    <n v="2025"/>
    <x v="2"/>
    <n v="464.01756392744267"/>
    <n v="379"/>
    <n v="165"/>
    <n v="0"/>
    <x v="0"/>
    <n v="175862.65672850076"/>
    <n v="99299.758680472733"/>
  </r>
  <r>
    <x v="12"/>
    <x v="0"/>
    <n v="2025"/>
    <x v="2"/>
    <n v="638.2200693981631"/>
    <n v="276"/>
    <n v="195"/>
    <n v="0"/>
    <x v="0"/>
    <n v="176148.73915389302"/>
    <n v="51695.825621251213"/>
  </r>
  <r>
    <x v="13"/>
    <x v="1"/>
    <n v="2025"/>
    <x v="2"/>
    <n v="112.01763711312708"/>
    <n v="271"/>
    <n v="152"/>
    <n v="0"/>
    <x v="0"/>
    <n v="30356.77965765744"/>
    <n v="13330.098816462123"/>
  </r>
  <r>
    <x v="14"/>
    <x v="2"/>
    <n v="2025"/>
    <x v="2"/>
    <n v="968.87896763427193"/>
    <n v="381"/>
    <n v="179"/>
    <n v="0"/>
    <x v="0"/>
    <n v="369142.88666865759"/>
    <n v="195713.55146212294"/>
  </r>
  <r>
    <x v="15"/>
    <x v="0"/>
    <n v="2025"/>
    <x v="2"/>
    <n v="84.972839213675826"/>
    <n v="300"/>
    <n v="155"/>
    <n v="0"/>
    <x v="0"/>
    <n v="25491.851764102747"/>
    <n v="12321.061685982995"/>
  </r>
  <r>
    <x v="16"/>
    <x v="1"/>
    <n v="2025"/>
    <x v="2"/>
    <n v="839.67972250353205"/>
    <n v="323"/>
    <n v="151"/>
    <n v="0"/>
    <x v="0"/>
    <n v="271216.55036864086"/>
    <n v="144424.91227060751"/>
  </r>
  <r>
    <x v="17"/>
    <x v="2"/>
    <n v="2025"/>
    <x v="2"/>
    <n v="925.0503191873629"/>
    <n v="348"/>
    <n v="163"/>
    <n v="0"/>
    <x v="0"/>
    <n v="321917.51107720227"/>
    <n v="171134.30904966214"/>
  </r>
  <r>
    <x v="18"/>
    <x v="0"/>
    <n v="2025"/>
    <x v="2"/>
    <n v="472.38592597511547"/>
    <n v="392"/>
    <n v="112"/>
    <n v="0"/>
    <x v="0"/>
    <n v="185175.28298224526"/>
    <n v="132268.05927303233"/>
  </r>
  <r>
    <x v="19"/>
    <x v="1"/>
    <n v="2025"/>
    <x v="2"/>
    <n v="405.43901343382544"/>
    <n v="320"/>
    <n v="161"/>
    <n v="0"/>
    <x v="0"/>
    <n v="129740.48429882414"/>
    <n v="64464.803135978247"/>
  </r>
  <r>
    <x v="20"/>
    <x v="2"/>
    <n v="2025"/>
    <x v="2"/>
    <n v="280.71013490904477"/>
    <n v="362"/>
    <n v="146"/>
    <n v="0"/>
    <x v="0"/>
    <n v="101617.0688370742"/>
    <n v="60633.389140353669"/>
  </r>
  <r>
    <x v="21"/>
    <x v="0"/>
    <n v="2025"/>
    <x v="2"/>
    <n v="248.47912947739869"/>
    <n v="316"/>
    <n v="182"/>
    <n v="0"/>
    <x v="0"/>
    <n v="78519.40491485798"/>
    <n v="33296.203349971423"/>
  </r>
  <r>
    <x v="22"/>
    <x v="1"/>
    <n v="2025"/>
    <x v="2"/>
    <n v="375.01871514578221"/>
    <n v="293"/>
    <n v="161"/>
    <n v="-0.03"/>
    <x v="0"/>
    <n v="109880.48353771419"/>
    <n v="49502.470399243255"/>
  </r>
  <r>
    <x v="0"/>
    <x v="0"/>
    <n v="2025"/>
    <x v="3"/>
    <n v="703.67225999328298"/>
    <n v="304"/>
    <n v="165"/>
    <n v="-0.03"/>
    <x v="1"/>
    <n v="213916.36703795803"/>
    <n v="97810.444139066327"/>
  </r>
  <r>
    <x v="1"/>
    <x v="1"/>
    <n v="2025"/>
    <x v="3"/>
    <n v="664.06116120347008"/>
    <n v="268"/>
    <n v="163"/>
    <n v="-0.03"/>
    <x v="1"/>
    <n v="177968.39120252998"/>
    <n v="69726.421926364361"/>
  </r>
  <r>
    <x v="2"/>
    <x v="2"/>
    <n v="2025"/>
    <x v="3"/>
    <n v="521.31451325411706"/>
    <n v="322"/>
    <n v="193"/>
    <n v="-0.03"/>
    <x v="1"/>
    <n v="167863.27326782569"/>
    <n v="67249.572209781094"/>
  </r>
  <r>
    <x v="3"/>
    <x v="0"/>
    <n v="2025"/>
    <x v="3"/>
    <n v="609.78113412607968"/>
    <n v="250"/>
    <n v="171"/>
    <n v="-0.03"/>
    <x v="1"/>
    <n v="152445.28353151993"/>
    <n v="48172.709595960296"/>
  </r>
  <r>
    <x v="4"/>
    <x v="1"/>
    <n v="2025"/>
    <x v="3"/>
    <n v="798.72793304836466"/>
    <n v="321"/>
    <n v="192"/>
    <n v="-0.03"/>
    <x v="1"/>
    <n v="256391.66650852506"/>
    <n v="103035.90336323903"/>
  </r>
  <r>
    <x v="5"/>
    <x v="2"/>
    <n v="2025"/>
    <x v="3"/>
    <n v="532.32195282893963"/>
    <n v="324"/>
    <n v="196"/>
    <n v="-0.03"/>
    <x v="1"/>
    <n v="172472.31271657645"/>
    <n v="68137.209962104273"/>
  </r>
  <r>
    <x v="6"/>
    <x v="0"/>
    <n v="2025"/>
    <x v="3"/>
    <n v="245.12548645941592"/>
    <n v="322"/>
    <n v="174"/>
    <n v="-0.03"/>
    <x v="1"/>
    <n v="78930.406639931927"/>
    <n v="36278.57199599356"/>
  </r>
  <r>
    <x v="7"/>
    <x v="1"/>
    <n v="2025"/>
    <x v="3"/>
    <n v="227.74408637692378"/>
    <n v="339"/>
    <n v="200"/>
    <n v="-0.03"/>
    <x v="1"/>
    <n v="77205.245281777155"/>
    <n v="31656.428006392405"/>
  </r>
  <r>
    <x v="8"/>
    <x v="2"/>
    <n v="2025"/>
    <x v="3"/>
    <n v="187.99896550065952"/>
    <n v="389"/>
    <n v="149"/>
    <n v="-0.03"/>
    <x v="1"/>
    <n v="73131.597579756548"/>
    <n v="45119.751720158289"/>
  </r>
  <r>
    <x v="9"/>
    <x v="0"/>
    <n v="2025"/>
    <x v="3"/>
    <n v="272.06835329402833"/>
    <n v="280"/>
    <n v="124"/>
    <n v="-0.03"/>
    <x v="1"/>
    <n v="76179.138922327926"/>
    <n v="42442.663113868417"/>
  </r>
  <r>
    <x v="10"/>
    <x v="1"/>
    <n v="2025"/>
    <x v="3"/>
    <n v="90.129155734221143"/>
    <n v="339"/>
    <n v="155"/>
    <n v="-0.03"/>
    <x v="1"/>
    <n v="30553.783793900966"/>
    <n v="16583.764655096689"/>
  </r>
  <r>
    <x v="11"/>
    <x v="2"/>
    <n v="2025"/>
    <x v="3"/>
    <n v="389.44331258196075"/>
    <n v="379"/>
    <n v="165"/>
    <n v="-0.03"/>
    <x v="1"/>
    <n v="147599.01546856313"/>
    <n v="83340.868892539598"/>
  </r>
  <r>
    <x v="12"/>
    <x v="0"/>
    <n v="2025"/>
    <x v="3"/>
    <n v="738.33302146061999"/>
    <n v="276"/>
    <n v="195"/>
    <n v="-0.03"/>
    <x v="1"/>
    <n v="203779.91392313113"/>
    <n v="59804.974738310222"/>
  </r>
  <r>
    <x v="13"/>
    <x v="1"/>
    <n v="2025"/>
    <x v="3"/>
    <n v="122.89313586197436"/>
    <n v="271"/>
    <n v="152"/>
    <n v="-0.03"/>
    <x v="1"/>
    <n v="33304.039818595054"/>
    <n v="14624.283167574949"/>
  </r>
  <r>
    <x v="14"/>
    <x v="2"/>
    <n v="2025"/>
    <x v="3"/>
    <n v="1162.6547611611263"/>
    <n v="381"/>
    <n v="179"/>
    <n v="-0.03"/>
    <x v="1"/>
    <n v="442971.46400238911"/>
    <n v="234856.26175454751"/>
  </r>
  <r>
    <x v="15"/>
    <x v="0"/>
    <n v="2025"/>
    <x v="3"/>
    <n v="88.371752782222856"/>
    <n v="300"/>
    <n v="155"/>
    <n v="-0.03"/>
    <x v="1"/>
    <n v="26511.525834666856"/>
    <n v="12813.904153422314"/>
  </r>
  <r>
    <x v="16"/>
    <x v="1"/>
    <n v="2025"/>
    <x v="3"/>
    <n v="863.4442429517452"/>
    <n v="323"/>
    <n v="151"/>
    <n v="-0.03"/>
    <x v="1"/>
    <n v="278892.49047341372"/>
    <n v="148512.40978770016"/>
  </r>
  <r>
    <x v="17"/>
    <x v="2"/>
    <n v="2025"/>
    <x v="3"/>
    <n v="726.82525079007075"/>
    <n v="348"/>
    <n v="163"/>
    <n v="-0.03"/>
    <x v="1"/>
    <n v="252935.18727494462"/>
    <n v="134462.67139616309"/>
  </r>
  <r>
    <x v="18"/>
    <x v="0"/>
    <n v="2025"/>
    <x v="3"/>
    <n v="618.12200952062983"/>
    <n v="392"/>
    <n v="112"/>
    <n v="-0.03"/>
    <x v="1"/>
    <n v="242303.82773208688"/>
    <n v="173074.16266577636"/>
  </r>
  <r>
    <x v="19"/>
    <x v="1"/>
    <n v="2025"/>
    <x v="3"/>
    <n v="476.76624727866511"/>
    <n v="320"/>
    <n v="161"/>
    <n v="-0.03"/>
    <x v="1"/>
    <n v="152565.19912917283"/>
    <n v="75805.833317307755"/>
  </r>
  <r>
    <x v="20"/>
    <x v="2"/>
    <n v="2025"/>
    <x v="3"/>
    <n v="288.96631534754607"/>
    <n v="362"/>
    <n v="146"/>
    <n v="-0.03"/>
    <x v="1"/>
    <n v="104605.80615581168"/>
    <n v="62416.724115069948"/>
  </r>
  <r>
    <x v="21"/>
    <x v="0"/>
    <n v="2025"/>
    <x v="3"/>
    <n v="236.05517300352875"/>
    <n v="316"/>
    <n v="182"/>
    <n v="-0.03"/>
    <x v="1"/>
    <n v="74593.434669115086"/>
    <n v="31631.393182472853"/>
  </r>
  <r>
    <x v="22"/>
    <x v="1"/>
    <n v="2025"/>
    <x v="3"/>
    <n v="425.80249948844028"/>
    <n v="293"/>
    <n v="161"/>
    <n v="-0.03"/>
    <x v="1"/>
    <n v="124760.132350113"/>
    <n v="56205.929932474115"/>
  </r>
  <r>
    <x v="0"/>
    <x v="0"/>
    <n v="2025"/>
    <x v="4"/>
    <n v="682.77110375585869"/>
    <n v="304"/>
    <n v="165"/>
    <n v="-0.03"/>
    <x v="1"/>
    <n v="207562.41554178105"/>
    <n v="94905.183422064365"/>
  </r>
  <r>
    <x v="1"/>
    <x v="1"/>
    <n v="2025"/>
    <x v="4"/>
    <n v="885.41488160462677"/>
    <n v="268"/>
    <n v="163"/>
    <n v="-0.03"/>
    <x v="1"/>
    <n v="237291.18827003997"/>
    <n v="92968.56256848581"/>
  </r>
  <r>
    <x v="2"/>
    <x v="2"/>
    <n v="2025"/>
    <x v="4"/>
    <n v="597.33954643700929"/>
    <n v="322"/>
    <n v="193"/>
    <n v="-0.03"/>
    <x v="1"/>
    <n v="192343.33395271699"/>
    <n v="77056.801490374201"/>
  </r>
  <r>
    <x v="3"/>
    <x v="0"/>
    <n v="2025"/>
    <x v="4"/>
    <n v="813.04151216810624"/>
    <n v="250"/>
    <n v="171"/>
    <n v="-0.03"/>
    <x v="1"/>
    <n v="203260.37804202657"/>
    <n v="64230.279461280392"/>
  </r>
  <r>
    <x v="4"/>
    <x v="1"/>
    <n v="2025"/>
    <x v="4"/>
    <n v="602.54914247508214"/>
    <n v="321"/>
    <n v="192"/>
    <n v="-0.03"/>
    <x v="1"/>
    <n v="193418.27473450138"/>
    <n v="77728.839379285593"/>
  </r>
  <r>
    <x v="5"/>
    <x v="2"/>
    <n v="2025"/>
    <x v="4"/>
    <n v="395.94194838516171"/>
    <n v="324"/>
    <n v="196"/>
    <n v="-0.03"/>
    <x v="1"/>
    <n v="128285.19127679239"/>
    <n v="50680.569393300699"/>
  </r>
  <r>
    <x v="6"/>
    <x v="0"/>
    <n v="2025"/>
    <x v="4"/>
    <n v="306.40685807426991"/>
    <n v="322"/>
    <n v="174"/>
    <n v="-0.03"/>
    <x v="1"/>
    <n v="98663.008299914916"/>
    <n v="45348.214994991948"/>
  </r>
  <r>
    <x v="7"/>
    <x v="1"/>
    <n v="2025"/>
    <x v="4"/>
    <n v="162.67434741208839"/>
    <n v="339"/>
    <n v="200"/>
    <n v="-0.03"/>
    <x v="1"/>
    <n v="55146.603772697963"/>
    <n v="22611.734290280288"/>
  </r>
  <r>
    <x v="8"/>
    <x v="2"/>
    <n v="2025"/>
    <x v="4"/>
    <n v="152.74915946928587"/>
    <n v="389"/>
    <n v="149"/>
    <n v="-0.03"/>
    <x v="1"/>
    <n v="59419.423033552201"/>
    <n v="36659.798272628606"/>
  </r>
  <r>
    <x v="9"/>
    <x v="0"/>
    <n v="2025"/>
    <x v="4"/>
    <n v="222.36355798069621"/>
    <n v="280"/>
    <n v="124"/>
    <n v="-0.03"/>
    <x v="1"/>
    <n v="62261.796234594942"/>
    <n v="34688.71504498861"/>
  </r>
  <r>
    <x v="10"/>
    <x v="1"/>
    <n v="2025"/>
    <x v="4"/>
    <n v="123.92758913455407"/>
    <n v="339"/>
    <n v="155"/>
    <n v="-0.03"/>
    <x v="1"/>
    <n v="42011.452716613829"/>
    <n v="22802.676400757948"/>
  </r>
  <r>
    <x v="11"/>
    <x v="2"/>
    <n v="2025"/>
    <x v="4"/>
    <n v="468.16057789108044"/>
    <n v="379"/>
    <n v="165"/>
    <n v="-0.03"/>
    <x v="1"/>
    <n v="177432.85902071948"/>
    <n v="100186.36366869121"/>
  </r>
  <r>
    <x v="12"/>
    <x v="0"/>
    <n v="2025"/>
    <x v="4"/>
    <n v="763.3612594762343"/>
    <n v="276"/>
    <n v="195"/>
    <n v="-0.03"/>
    <x v="1"/>
    <n v="210687.70761544065"/>
    <n v="61832.262017574976"/>
  </r>
  <r>
    <x v="13"/>
    <x v="1"/>
    <n v="2025"/>
    <x v="4"/>
    <n v="135.94373436059112"/>
    <n v="271"/>
    <n v="152"/>
    <n v="-0.03"/>
    <x v="1"/>
    <n v="36840.752011720193"/>
    <n v="16177.304388910343"/>
  </r>
  <r>
    <x v="14"/>
    <x v="2"/>
    <n v="2025"/>
    <x v="4"/>
    <n v="922.74187393740181"/>
    <n v="381"/>
    <n v="179"/>
    <n v="-0.03"/>
    <x v="1"/>
    <n v="351564.6539701501"/>
    <n v="186393.85853535516"/>
  </r>
  <r>
    <x v="15"/>
    <x v="0"/>
    <n v="2025"/>
    <x v="4"/>
    <n v="88.371752782222856"/>
    <n v="300"/>
    <n v="155"/>
    <n v="-0.03"/>
    <x v="1"/>
    <n v="26511.525834666856"/>
    <n v="12813.904153422314"/>
  </r>
  <r>
    <x v="16"/>
    <x v="1"/>
    <n v="2025"/>
    <x v="4"/>
    <n v="784.22917479103455"/>
    <n v="323"/>
    <n v="151"/>
    <n v="-0.03"/>
    <x v="1"/>
    <n v="253306.02345750417"/>
    <n v="134887.41806405794"/>
  </r>
  <r>
    <x v="17"/>
    <x v="2"/>
    <n v="2025"/>
    <x v="4"/>
    <n v="883.75342993792697"/>
    <n v="348"/>
    <n v="163"/>
    <n v="-0.03"/>
    <x v="1"/>
    <n v="307546.19361839857"/>
    <n v="163494.38453851649"/>
  </r>
  <r>
    <x v="18"/>
    <x v="0"/>
    <n v="2025"/>
    <x v="4"/>
    <n v="582.94433418205745"/>
    <n v="392"/>
    <n v="112"/>
    <n v="-0.03"/>
    <x v="1"/>
    <n v="228514.17899936653"/>
    <n v="163224.41357097609"/>
  </r>
  <r>
    <x v="19"/>
    <x v="1"/>
    <n v="2025"/>
    <x v="4"/>
    <n v="349.12803934579415"/>
    <n v="320"/>
    <n v="161"/>
    <n v="-0.03"/>
    <x v="1"/>
    <n v="111720.97259065413"/>
    <n v="55511.358255981271"/>
  </r>
  <r>
    <x v="20"/>
    <x v="2"/>
    <n v="2025"/>
    <x v="4"/>
    <n v="291.71837549371321"/>
    <n v="362"/>
    <n v="146"/>
    <n v="-0.03"/>
    <x v="1"/>
    <n v="105602.05192872418"/>
    <n v="63011.169106642054"/>
  </r>
  <r>
    <x v="21"/>
    <x v="0"/>
    <n v="2025"/>
    <x v="4"/>
    <n v="303.1445379624264"/>
    <n v="316"/>
    <n v="182"/>
    <n v="-0.03"/>
    <x v="1"/>
    <n v="95793.673996126745"/>
    <n v="40621.368086965136"/>
  </r>
  <r>
    <x v="22"/>
    <x v="1"/>
    <n v="2025"/>
    <x v="4"/>
    <n v="351.58004544917088"/>
    <n v="293"/>
    <n v="161"/>
    <n v="-0.03"/>
    <x v="1"/>
    <n v="103012.95331660706"/>
    <n v="46408.565999290557"/>
  </r>
  <r>
    <x v="0"/>
    <x v="0"/>
    <n v="2025"/>
    <x v="5"/>
    <n v="759.40867662641426"/>
    <n v="304"/>
    <n v="165"/>
    <n v="-0.03"/>
    <x v="1"/>
    <n v="230860.23769442993"/>
    <n v="105557.80605107159"/>
  </r>
  <r>
    <x v="1"/>
    <x v="1"/>
    <n v="2025"/>
    <x v="5"/>
    <n v="984.64241143962806"/>
    <n v="268"/>
    <n v="163"/>
    <n v="-0.03"/>
    <x v="1"/>
    <n v="263884.16626582033"/>
    <n v="103387.45320116094"/>
  </r>
  <r>
    <x v="2"/>
    <x v="2"/>
    <n v="2025"/>
    <x v="5"/>
    <n v="581.04846789781811"/>
    <n v="322"/>
    <n v="193"/>
    <n v="-0.03"/>
    <x v="1"/>
    <n v="187097.60666309742"/>
    <n v="74955.252358818543"/>
  </r>
  <r>
    <x v="3"/>
    <x v="0"/>
    <n v="2025"/>
    <x v="5"/>
    <n v="596.66756134917478"/>
    <n v="250"/>
    <n v="171"/>
    <n v="-0.03"/>
    <x v="1"/>
    <n v="149166.89033729371"/>
    <n v="47136.737346584807"/>
  </r>
  <r>
    <x v="4"/>
    <x v="1"/>
    <n v="2025"/>
    <x v="5"/>
    <n v="721.65769389457523"/>
    <n v="321"/>
    <n v="192"/>
    <n v="-0.03"/>
    <x v="1"/>
    <n v="231652.11974015864"/>
    <n v="93093.84251240021"/>
  </r>
  <r>
    <x v="5"/>
    <x v="2"/>
    <n v="2025"/>
    <x v="5"/>
    <n v="395.94194838516171"/>
    <n v="324"/>
    <n v="196"/>
    <n v="-0.03"/>
    <x v="1"/>
    <n v="128285.19127679239"/>
    <n v="50680.569393300699"/>
  </r>
  <r>
    <x v="6"/>
    <x v="0"/>
    <n v="2025"/>
    <x v="5"/>
    <n v="200.3429456639457"/>
    <n v="322"/>
    <n v="174"/>
    <n v="-0.03"/>
    <x v="1"/>
    <n v="64510.428503790514"/>
    <n v="29650.755958263962"/>
  </r>
  <r>
    <x v="7"/>
    <x v="1"/>
    <n v="2025"/>
    <x v="5"/>
    <n v="223.91645467310991"/>
    <n v="339"/>
    <n v="200"/>
    <n v="-0.03"/>
    <x v="1"/>
    <n v="75907.678134184258"/>
    <n v="31124.387199562276"/>
  </r>
  <r>
    <x v="8"/>
    <x v="2"/>
    <n v="2025"/>
    <x v="5"/>
    <n v="159.46340823716653"/>
    <n v="389"/>
    <n v="149"/>
    <n v="-0.03"/>
    <x v="1"/>
    <n v="62031.265804257782"/>
    <n v="38271.217976919965"/>
  </r>
  <r>
    <x v="9"/>
    <x v="0"/>
    <n v="2025"/>
    <x v="5"/>
    <n v="295.61273002139609"/>
    <n v="280"/>
    <n v="124"/>
    <n v="-0.03"/>
    <x v="1"/>
    <n v="82771.56440599091"/>
    <n v="46115.585883337793"/>
  </r>
  <r>
    <x v="10"/>
    <x v="1"/>
    <n v="2025"/>
    <x v="5"/>
    <n v="119.8308093284531"/>
    <n v="339"/>
    <n v="155"/>
    <n v="-0.03"/>
    <x v="1"/>
    <n v="40622.6443623456"/>
    <n v="22048.868916435371"/>
  </r>
  <r>
    <x v="11"/>
    <x v="2"/>
    <n v="2025"/>
    <x v="5"/>
    <n v="356.29920087285774"/>
    <n v="379"/>
    <n v="165"/>
    <n v="-0.03"/>
    <x v="1"/>
    <n v="135037.39713081307"/>
    <n v="76248.028986791556"/>
  </r>
  <r>
    <x v="12"/>
    <x v="0"/>
    <n v="2025"/>
    <x v="5"/>
    <n v="719.56184294890932"/>
    <n v="276"/>
    <n v="195"/>
    <n v="-0.03"/>
    <x v="1"/>
    <n v="198599.06865389898"/>
    <n v="58284.509278861653"/>
  </r>
  <r>
    <x v="13"/>
    <x v="1"/>
    <n v="2025"/>
    <x v="5"/>
    <n v="126.15578548662855"/>
    <n v="271"/>
    <n v="152"/>
    <n v="-0.03"/>
    <x v="1"/>
    <n v="34188.217866876337"/>
    <n v="15012.538472908796"/>
  </r>
  <r>
    <x v="14"/>
    <x v="2"/>
    <n v="2025"/>
    <x v="5"/>
    <n v="1079.60799250676"/>
    <n v="381"/>
    <n v="179"/>
    <n v="-0.03"/>
    <x v="1"/>
    <n v="411330.64514507557"/>
    <n v="218080.8144863655"/>
  </r>
  <r>
    <x v="15"/>
    <x v="0"/>
    <n v="2025"/>
    <x v="5"/>
    <n v="79.02474046871852"/>
    <n v="300"/>
    <n v="155"/>
    <n v="-0.03"/>
    <x v="1"/>
    <n v="23707.422140615556"/>
    <n v="11458.587367964185"/>
  </r>
  <r>
    <x v="16"/>
    <x v="1"/>
    <n v="2025"/>
    <x v="5"/>
    <n v="926.81629748031355"/>
    <n v="323"/>
    <n v="151"/>
    <n v="-0.03"/>
    <x v="1"/>
    <n v="299361.66408614127"/>
    <n v="159412.40316661392"/>
  </r>
  <r>
    <x v="17"/>
    <x v="2"/>
    <n v="2025"/>
    <x v="5"/>
    <n v="858.97529638826552"/>
    <n v="348"/>
    <n v="163"/>
    <n v="-0.03"/>
    <x v="1"/>
    <n v="298923.40314311639"/>
    <n v="158910.42983182913"/>
  </r>
  <r>
    <x v="18"/>
    <x v="0"/>
    <n v="2025"/>
    <x v="5"/>
    <n v="653.29968485920233"/>
    <n v="392"/>
    <n v="112"/>
    <n v="-0.03"/>
    <x v="1"/>
    <n v="256093.47646480732"/>
    <n v="182923.91176057665"/>
  </r>
  <r>
    <x v="19"/>
    <x v="1"/>
    <n v="2025"/>
    <x v="5"/>
    <n v="476.76624727866511"/>
    <n v="320"/>
    <n v="161"/>
    <n v="-0.03"/>
    <x v="1"/>
    <n v="152565.19912917283"/>
    <n v="75805.833317307755"/>
  </r>
  <r>
    <x v="20"/>
    <x v="2"/>
    <n v="2025"/>
    <x v="5"/>
    <n v="288.96631534754607"/>
    <n v="362"/>
    <n v="146"/>
    <n v="-0.03"/>
    <x v="1"/>
    <n v="104605.80615581168"/>
    <n v="62416.724115069948"/>
  </r>
  <r>
    <x v="21"/>
    <x v="0"/>
    <n v="2025"/>
    <x v="5"/>
    <n v="270.84225113036462"/>
    <n v="316"/>
    <n v="182"/>
    <n v="-0.03"/>
    <x v="1"/>
    <n v="85586.151357195224"/>
    <n v="36292.861651468862"/>
  </r>
  <r>
    <x v="22"/>
    <x v="1"/>
    <n v="2025"/>
    <x v="5"/>
    <n v="468.7733939322278"/>
    <n v="293"/>
    <n v="161"/>
    <n v="-0.03"/>
    <x v="1"/>
    <n v="137350.60442214276"/>
    <n v="61878.0879990540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n v="2025"/>
    <x v="0"/>
    <n v="696.70520791414151"/>
    <n v="304"/>
    <n v="165"/>
    <n v="0"/>
    <x v="0"/>
    <n v="211798.38320589901"/>
    <n v="96842.023900065673"/>
  </r>
  <r>
    <x v="1"/>
    <x v="1"/>
    <n v="2025"/>
    <x v="0"/>
    <n v="763.28869103847137"/>
    <n v="268"/>
    <n v="163"/>
    <n v="0"/>
    <x v="0"/>
    <n v="204561.36919831033"/>
    <n v="80145.312559039492"/>
  </r>
  <r>
    <x v="2"/>
    <x v="2"/>
    <n v="2025"/>
    <x v="0"/>
    <n v="543.035951306372"/>
    <n v="322"/>
    <n v="193"/>
    <n v="0"/>
    <x v="0"/>
    <n v="174857.57632065177"/>
    <n v="70051.63771852199"/>
  </r>
  <r>
    <x v="3"/>
    <x v="0"/>
    <n v="2025"/>
    <x v="0"/>
    <n v="655.67863884524695"/>
    <n v="250"/>
    <n v="171"/>
    <n v="0"/>
    <x v="0"/>
    <n v="163919.65971131175"/>
    <n v="51798.61246877451"/>
  </r>
  <r>
    <x v="4"/>
    <x v="1"/>
    <n v="2025"/>
    <x v="0"/>
    <n v="700.63853776172346"/>
    <n v="321"/>
    <n v="192"/>
    <n v="0"/>
    <x v="0"/>
    <n v="224904.97062151323"/>
    <n v="90382.371371262328"/>
  </r>
  <r>
    <x v="5"/>
    <x v="2"/>
    <n v="2025"/>
    <x v="0"/>
    <n v="439.9354982057352"/>
    <n v="324"/>
    <n v="196"/>
    <n v="0"/>
    <x v="0"/>
    <n v="142539.10141865822"/>
    <n v="56311.743770334106"/>
  </r>
  <r>
    <x v="6"/>
    <x v="0"/>
    <n v="2025"/>
    <x v="0"/>
    <n v="235.69758313405376"/>
    <n v="322"/>
    <n v="174"/>
    <n v="0"/>
    <x v="0"/>
    <n v="75894.621769165315"/>
    <n v="34883.242303839957"/>
  </r>
  <r>
    <x v="7"/>
    <x v="1"/>
    <n v="2025"/>
    <x v="0"/>
    <n v="191.38158519069225"/>
    <n v="339"/>
    <n v="200"/>
    <n v="0"/>
    <x v="0"/>
    <n v="64878.357379644673"/>
    <n v="26602.040341506221"/>
  </r>
  <r>
    <x v="8"/>
    <x v="2"/>
    <n v="2025"/>
    <x v="0"/>
    <n v="167.85621919701742"/>
    <n v="389"/>
    <n v="149"/>
    <n v="0"/>
    <x v="0"/>
    <n v="65296.069267639781"/>
    <n v="40285.492607284184"/>
  </r>
  <r>
    <x v="9"/>
    <x v="0"/>
    <n v="2025"/>
    <x v="0"/>
    <n v="261.6041858596426"/>
    <n v="280"/>
    <n v="124"/>
    <n v="0"/>
    <x v="0"/>
    <n v="73249.172040699923"/>
    <n v="40810.252994104245"/>
  </r>
  <r>
    <x v="10"/>
    <x v="1"/>
    <n v="2025"/>
    <x v="0"/>
    <n v="102.41949515252402"/>
    <n v="339"/>
    <n v="155"/>
    <n v="0"/>
    <x v="0"/>
    <n v="34720.208856705642"/>
    <n v="18845.18710806442"/>
  </r>
  <r>
    <x v="11"/>
    <x v="2"/>
    <n v="2025"/>
    <x v="0"/>
    <n v="414.30139636378806"/>
    <n v="379"/>
    <n v="165"/>
    <n v="0"/>
    <x v="0"/>
    <n v="157020.22922187566"/>
    <n v="88660.498821850648"/>
  </r>
  <r>
    <x v="12"/>
    <x v="0"/>
    <n v="2025"/>
    <x v="0"/>
    <n v="625.70595039035595"/>
    <n v="276"/>
    <n v="195"/>
    <n v="0"/>
    <x v="0"/>
    <n v="172694.84230773823"/>
    <n v="50682.181981618829"/>
  </r>
  <r>
    <x v="13"/>
    <x v="1"/>
    <n v="2025"/>
    <x v="0"/>
    <n v="108.75498748847289"/>
    <n v="271"/>
    <n v="152"/>
    <n v="0"/>
    <x v="0"/>
    <n v="29472.601609376154"/>
    <n v="12941.843511128274"/>
  </r>
  <r>
    <x v="14"/>
    <x v="2"/>
    <n v="2025"/>
    <x v="0"/>
    <n v="922.74187393740181"/>
    <n v="381"/>
    <n v="179"/>
    <n v="0"/>
    <x v="0"/>
    <n v="351564.6539701501"/>
    <n v="186393.85853535516"/>
  </r>
  <r>
    <x v="15"/>
    <x v="0"/>
    <n v="2025"/>
    <x v="0"/>
    <n v="84.972839213675826"/>
    <n v="300"/>
    <n v="155"/>
    <n v="0"/>
    <x v="0"/>
    <n v="25491.851764102747"/>
    <n v="12321.061685982995"/>
  </r>
  <r>
    <x v="16"/>
    <x v="1"/>
    <n v="2025"/>
    <x v="0"/>
    <n v="792.15068160710564"/>
    <n v="323"/>
    <n v="151"/>
    <n v="0"/>
    <x v="0"/>
    <n v="255864.67015909511"/>
    <n v="136249.91723642216"/>
  </r>
  <r>
    <x v="17"/>
    <x v="2"/>
    <n v="2025"/>
    <x v="0"/>
    <n v="825.93778498871677"/>
    <n v="348"/>
    <n v="163"/>
    <n v="0"/>
    <x v="0"/>
    <n v="287426.34917607345"/>
    <n v="152798.4902229126"/>
  </r>
  <r>
    <x v="18"/>
    <x v="0"/>
    <n v="2025"/>
    <x v="0"/>
    <n v="502.53821912246332"/>
    <n v="392"/>
    <n v="112"/>
    <n v="0"/>
    <x v="0"/>
    <n v="196994.98189600563"/>
    <n v="140710.70135428972"/>
  </r>
  <r>
    <x v="19"/>
    <x v="1"/>
    <n v="2025"/>
    <x v="0"/>
    <n v="375.40649392020873"/>
    <n v="320"/>
    <n v="161"/>
    <n v="0"/>
    <x v="0"/>
    <n v="120130.07805446679"/>
    <n v="59689.63253331319"/>
  </r>
  <r>
    <x v="20"/>
    <x v="2"/>
    <n v="2025"/>
    <x v="0"/>
    <n v="275.20601461671055"/>
    <n v="362"/>
    <n v="146"/>
    <n v="0"/>
    <x v="0"/>
    <n v="99624.577291249225"/>
    <n v="59444.49915720948"/>
  </r>
  <r>
    <x v="21"/>
    <x v="0"/>
    <n v="2025"/>
    <x v="0"/>
    <n v="248.47912947739869"/>
    <n v="316"/>
    <n v="182"/>
    <n v="0"/>
    <x v="0"/>
    <n v="78519.40491485798"/>
    <n v="33296.203349971423"/>
  </r>
  <r>
    <x v="22"/>
    <x v="1"/>
    <n v="2025"/>
    <x v="0"/>
    <n v="390.64449494352317"/>
    <n v="293"/>
    <n v="161"/>
    <n v="0"/>
    <x v="0"/>
    <n v="114458.83701845229"/>
    <n v="51565.073332545056"/>
  </r>
  <r>
    <x v="0"/>
    <x v="0"/>
    <n v="2025"/>
    <x v="1"/>
    <n v="787.27688494297979"/>
    <n v="304"/>
    <n v="165"/>
    <n v="0"/>
    <x v="0"/>
    <n v="239332.17302266587"/>
    <n v="109431.48700707419"/>
  </r>
  <r>
    <x v="1"/>
    <x v="1"/>
    <n v="2025"/>
    <x v="1"/>
    <n v="686.9598219346243"/>
    <n v="268"/>
    <n v="163"/>
    <n v="0"/>
    <x v="0"/>
    <n v="184105.23227847932"/>
    <n v="72130.781303135547"/>
  </r>
  <r>
    <x v="2"/>
    <x v="2"/>
    <n v="2025"/>
    <x v="1"/>
    <n v="619.060984489264"/>
    <n v="322"/>
    <n v="193"/>
    <n v="0"/>
    <x v="0"/>
    <n v="199337.63700554302"/>
    <n v="79858.866999115053"/>
  </r>
  <r>
    <x v="3"/>
    <x v="0"/>
    <n v="2025"/>
    <x v="1"/>
    <n v="675.34899801060442"/>
    <n v="250"/>
    <n v="171"/>
    <n v="0"/>
    <x v="0"/>
    <n v="168837.2495026511"/>
    <n v="53352.570842837747"/>
  </r>
  <r>
    <x v="4"/>
    <x v="1"/>
    <n v="2025"/>
    <x v="1"/>
    <n v="658.60022549602002"/>
    <n v="321"/>
    <n v="192"/>
    <n v="0"/>
    <x v="0"/>
    <n v="211410.67238422242"/>
    <n v="84959.429088986581"/>
  </r>
  <r>
    <x v="5"/>
    <x v="2"/>
    <n v="2025"/>
    <x v="1"/>
    <n v="444.33485318779253"/>
    <n v="324"/>
    <n v="196"/>
    <n v="0"/>
    <x v="0"/>
    <n v="143964.49243284477"/>
    <n v="56874.861208037444"/>
  </r>
  <r>
    <x v="6"/>
    <x v="0"/>
    <n v="2025"/>
    <x v="1"/>
    <n v="238.05455896539431"/>
    <n v="322"/>
    <n v="174"/>
    <n v="0"/>
    <x v="0"/>
    <n v="76653.567986856971"/>
    <n v="35232.07472687836"/>
  </r>
  <r>
    <x v="7"/>
    <x v="1"/>
    <n v="2025"/>
    <x v="1"/>
    <n v="174.15724252352996"/>
    <n v="339"/>
    <n v="200"/>
    <n v="0"/>
    <x v="0"/>
    <n v="59039.305215476656"/>
    <n v="24207.856710770666"/>
  </r>
  <r>
    <x v="8"/>
    <x v="2"/>
    <n v="2025"/>
    <x v="1"/>
    <n v="166.17765700504725"/>
    <n v="389"/>
    <n v="149"/>
    <n v="0"/>
    <x v="0"/>
    <n v="64643.108574963378"/>
    <n v="39882.637681211338"/>
  </r>
  <r>
    <x v="9"/>
    <x v="0"/>
    <n v="2025"/>
    <x v="1"/>
    <n v="266.83626957683543"/>
    <n v="280"/>
    <n v="124"/>
    <n v="0"/>
    <x v="0"/>
    <n v="74714.155481513924"/>
    <n v="41626.458053986331"/>
  </r>
  <r>
    <x v="10"/>
    <x v="1"/>
    <n v="2025"/>
    <x v="1"/>
    <n v="111.63724971625119"/>
    <n v="339"/>
    <n v="155"/>
    <n v="0"/>
    <x v="0"/>
    <n v="37845.027653809157"/>
    <n v="20541.253947790217"/>
  </r>
  <r>
    <x v="11"/>
    <x v="2"/>
    <n v="2025"/>
    <x v="1"/>
    <n v="410.15838240015017"/>
    <n v="379"/>
    <n v="165"/>
    <n v="0"/>
    <x v="0"/>
    <n v="155450.02692965692"/>
    <n v="87773.893833632144"/>
  </r>
  <r>
    <x v="12"/>
    <x v="0"/>
    <n v="2025"/>
    <x v="1"/>
    <n v="600.67771237474165"/>
    <n v="276"/>
    <n v="195"/>
    <n v="0"/>
    <x v="0"/>
    <n v="165787.04861542871"/>
    <n v="48654.894702354075"/>
  </r>
  <r>
    <x v="13"/>
    <x v="1"/>
    <n v="2025"/>
    <x v="1"/>
    <n v="96.791938864740871"/>
    <n v="271"/>
    <n v="152"/>
    <n v="0"/>
    <x v="0"/>
    <n v="26230.615432344777"/>
    <n v="11518.240724904164"/>
  </r>
  <r>
    <x v="14"/>
    <x v="2"/>
    <n v="2025"/>
    <x v="1"/>
    <n v="1042.6983175492639"/>
    <n v="381"/>
    <n v="179"/>
    <n v="0"/>
    <x v="0"/>
    <n v="397268.05898626958"/>
    <n v="210625.06014495131"/>
  </r>
  <r>
    <x v="15"/>
    <x v="0"/>
    <n v="2025"/>
    <x v="1"/>
    <n v="85.82256760581258"/>
    <n v="300"/>
    <n v="155"/>
    <n v="0"/>
    <x v="0"/>
    <n v="25746.770281743775"/>
    <n v="12444.272302842825"/>
  </r>
  <r>
    <x v="16"/>
    <x v="1"/>
    <n v="2025"/>
    <x v="1"/>
    <n v="744.62164071067923"/>
    <n v="323"/>
    <n v="151"/>
    <n v="0"/>
    <x v="0"/>
    <n v="240512.78994954939"/>
    <n v="128074.92220223683"/>
  </r>
  <r>
    <x v="17"/>
    <x v="2"/>
    <n v="2025"/>
    <x v="1"/>
    <n v="751.60338433973232"/>
    <n v="348"/>
    <n v="163"/>
    <n v="0"/>
    <x v="0"/>
    <n v="261557.97775022686"/>
    <n v="139046.62610285048"/>
  </r>
  <r>
    <x v="18"/>
    <x v="0"/>
    <n v="2025"/>
    <x v="1"/>
    <n v="557.81742322593436"/>
    <n v="392"/>
    <n v="112"/>
    <n v="0"/>
    <x v="0"/>
    <n v="218664.42990456626"/>
    <n v="156188.87850326163"/>
  </r>
  <r>
    <x v="19"/>
    <x v="1"/>
    <n v="2025"/>
    <x v="1"/>
    <n v="394.17681861621918"/>
    <n v="320"/>
    <n v="161"/>
    <n v="0"/>
    <x v="0"/>
    <n v="126136.58195719014"/>
    <n v="62674.114159978846"/>
  </r>
  <r>
    <x v="20"/>
    <x v="2"/>
    <n v="2025"/>
    <x v="1"/>
    <n v="283.46219505521185"/>
    <n v="362"/>
    <n v="146"/>
    <n v="0"/>
    <x v="0"/>
    <n v="102613.31460998669"/>
    <n v="61227.83413192576"/>
  </r>
  <r>
    <x v="21"/>
    <x v="0"/>
    <n v="2025"/>
    <x v="1"/>
    <n v="270.84225113036462"/>
    <n v="316"/>
    <n v="182"/>
    <n v="0"/>
    <x v="0"/>
    <n v="85586.151357195224"/>
    <n v="36292.861651468862"/>
  </r>
  <r>
    <x v="22"/>
    <x v="1"/>
    <n v="2025"/>
    <x v="1"/>
    <n v="347.67360049973564"/>
    <n v="293"/>
    <n v="161"/>
    <n v="0"/>
    <x v="0"/>
    <n v="101868.36494642255"/>
    <n v="45892.915265965108"/>
  </r>
  <r>
    <x v="0"/>
    <x v="0"/>
    <n v="2025"/>
    <x v="2"/>
    <n v="689.73815583500004"/>
    <n v="304"/>
    <n v="165"/>
    <n v="0"/>
    <x v="0"/>
    <n v="209680.39937384002"/>
    <n v="95873.603661065004"/>
  </r>
  <r>
    <x v="1"/>
    <x v="1"/>
    <n v="2025"/>
    <x v="2"/>
    <n v="755.65580412808663"/>
    <n v="268"/>
    <n v="163"/>
    <n v="0"/>
    <x v="0"/>
    <n v="202515.75550632723"/>
    <n v="79343.859433449092"/>
  </r>
  <r>
    <x v="2"/>
    <x v="2"/>
    <n v="2025"/>
    <x v="2"/>
    <n v="543.035951306372"/>
    <n v="322"/>
    <n v="193"/>
    <n v="0"/>
    <x v="0"/>
    <n v="174857.57632065177"/>
    <n v="70051.63771852199"/>
  </r>
  <r>
    <x v="3"/>
    <x v="0"/>
    <n v="2025"/>
    <x v="2"/>
    <n v="629.45149329143703"/>
    <n v="250"/>
    <n v="171"/>
    <n v="0"/>
    <x v="0"/>
    <n v="157362.87332285926"/>
    <n v="49726.667970023525"/>
  </r>
  <r>
    <x v="4"/>
    <x v="1"/>
    <n v="2025"/>
    <x v="2"/>
    <n v="686.62576700648901"/>
    <n v="321"/>
    <n v="192"/>
    <n v="0"/>
    <x v="0"/>
    <n v="220406.87120908298"/>
    <n v="88574.723943837089"/>
  </r>
  <r>
    <x v="5"/>
    <x v="2"/>
    <n v="2025"/>
    <x v="2"/>
    <n v="413.53936831339104"/>
    <n v="324"/>
    <n v="196"/>
    <n v="0"/>
    <x v="0"/>
    <n v="133986.75533353869"/>
    <n v="52933.039144114053"/>
  </r>
  <r>
    <x v="6"/>
    <x v="0"/>
    <n v="2025"/>
    <x v="2"/>
    <n v="226.26967980869159"/>
    <n v="322"/>
    <n v="174"/>
    <n v="0"/>
    <x v="0"/>
    <n v="72858.836898398687"/>
    <n v="33487.912611686355"/>
  </r>
  <r>
    <x v="7"/>
    <x v="1"/>
    <n v="2025"/>
    <x v="2"/>
    <n v="162.67434741208839"/>
    <n v="339"/>
    <n v="200"/>
    <n v="0"/>
    <x v="0"/>
    <n v="55146.603772697963"/>
    <n v="22611.734290280288"/>
  </r>
  <r>
    <x v="8"/>
    <x v="2"/>
    <n v="2025"/>
    <x v="2"/>
    <n v="176.24903015686832"/>
    <n v="389"/>
    <n v="149"/>
    <n v="0"/>
    <x v="0"/>
    <n v="68560.87273102178"/>
    <n v="42299.767237648397"/>
  </r>
  <r>
    <x v="9"/>
    <x v="0"/>
    <n v="2025"/>
    <x v="2"/>
    <n v="258.98814400104618"/>
    <n v="280"/>
    <n v="124"/>
    <n v="0"/>
    <x v="0"/>
    <n v="72516.68032029293"/>
    <n v="40402.150464163205"/>
  </r>
  <r>
    <x v="10"/>
    <x v="1"/>
    <n v="2025"/>
    <x v="2"/>
    <n v="103.44369010404927"/>
    <n v="339"/>
    <n v="155"/>
    <n v="0"/>
    <x v="0"/>
    <n v="35067.410945272699"/>
    <n v="19033.638979145064"/>
  </r>
  <r>
    <x v="11"/>
    <x v="2"/>
    <n v="2025"/>
    <x v="2"/>
    <n v="464.01756392744267"/>
    <n v="379"/>
    <n v="165"/>
    <n v="0"/>
    <x v="0"/>
    <n v="175862.65672850076"/>
    <n v="99299.758680472733"/>
  </r>
  <r>
    <x v="12"/>
    <x v="0"/>
    <n v="2025"/>
    <x v="2"/>
    <n v="638.2200693981631"/>
    <n v="276"/>
    <n v="195"/>
    <n v="0"/>
    <x v="0"/>
    <n v="176148.73915389302"/>
    <n v="51695.825621251213"/>
  </r>
  <r>
    <x v="13"/>
    <x v="1"/>
    <n v="2025"/>
    <x v="2"/>
    <n v="112.01763711312708"/>
    <n v="271"/>
    <n v="152"/>
    <n v="0"/>
    <x v="0"/>
    <n v="30356.77965765744"/>
    <n v="13330.098816462123"/>
  </r>
  <r>
    <x v="14"/>
    <x v="2"/>
    <n v="2025"/>
    <x v="2"/>
    <n v="968.87896763427193"/>
    <n v="381"/>
    <n v="179"/>
    <n v="0"/>
    <x v="0"/>
    <n v="369142.88666865759"/>
    <n v="195713.55146212294"/>
  </r>
  <r>
    <x v="15"/>
    <x v="0"/>
    <n v="2025"/>
    <x v="2"/>
    <n v="84.972839213675826"/>
    <n v="300"/>
    <n v="155"/>
    <n v="0"/>
    <x v="0"/>
    <n v="25491.851764102747"/>
    <n v="12321.061685982995"/>
  </r>
  <r>
    <x v="16"/>
    <x v="1"/>
    <n v="2025"/>
    <x v="2"/>
    <n v="839.67972250353205"/>
    <n v="323"/>
    <n v="151"/>
    <n v="0"/>
    <x v="0"/>
    <n v="271216.55036864086"/>
    <n v="144424.91227060751"/>
  </r>
  <r>
    <x v="17"/>
    <x v="2"/>
    <n v="2025"/>
    <x v="2"/>
    <n v="925.0503191873629"/>
    <n v="348"/>
    <n v="163"/>
    <n v="0"/>
    <x v="0"/>
    <n v="321917.51107720227"/>
    <n v="171134.30904966214"/>
  </r>
  <r>
    <x v="18"/>
    <x v="0"/>
    <n v="2025"/>
    <x v="2"/>
    <n v="472.38592597511547"/>
    <n v="392"/>
    <n v="112"/>
    <n v="0"/>
    <x v="0"/>
    <n v="185175.28298224526"/>
    <n v="132268.05927303233"/>
  </r>
  <r>
    <x v="19"/>
    <x v="1"/>
    <n v="2025"/>
    <x v="2"/>
    <n v="405.43901343382544"/>
    <n v="320"/>
    <n v="161"/>
    <n v="0"/>
    <x v="0"/>
    <n v="129740.48429882414"/>
    <n v="64464.803135978247"/>
  </r>
  <r>
    <x v="20"/>
    <x v="2"/>
    <n v="2025"/>
    <x v="2"/>
    <n v="280.71013490904477"/>
    <n v="362"/>
    <n v="146"/>
    <n v="0"/>
    <x v="0"/>
    <n v="101617.0688370742"/>
    <n v="60633.389140353669"/>
  </r>
  <r>
    <x v="21"/>
    <x v="0"/>
    <n v="2025"/>
    <x v="2"/>
    <n v="248.47912947739869"/>
    <n v="316"/>
    <n v="182"/>
    <n v="0"/>
    <x v="0"/>
    <n v="78519.40491485798"/>
    <n v="33296.203349971423"/>
  </r>
  <r>
    <x v="22"/>
    <x v="1"/>
    <n v="2025"/>
    <x v="2"/>
    <n v="375.01871514578221"/>
    <n v="293"/>
    <n v="161"/>
    <n v="-0.03"/>
    <x v="0"/>
    <n v="109880.48353771419"/>
    <n v="49502.470399243255"/>
  </r>
  <r>
    <x v="0"/>
    <x v="0"/>
    <n v="2025"/>
    <x v="3"/>
    <n v="703.67225999328298"/>
    <n v="304"/>
    <n v="165"/>
    <n v="-0.03"/>
    <x v="1"/>
    <n v="213916.36703795803"/>
    <n v="97810.444139066327"/>
  </r>
  <r>
    <x v="1"/>
    <x v="1"/>
    <n v="2025"/>
    <x v="3"/>
    <n v="664.06116120347008"/>
    <n v="268"/>
    <n v="163"/>
    <n v="-0.03"/>
    <x v="1"/>
    <n v="177968.39120252998"/>
    <n v="69726.421926364361"/>
  </r>
  <r>
    <x v="2"/>
    <x v="2"/>
    <n v="2025"/>
    <x v="3"/>
    <n v="521.31451325411706"/>
    <n v="322"/>
    <n v="193"/>
    <n v="-0.03"/>
    <x v="1"/>
    <n v="167863.27326782569"/>
    <n v="67249.572209781094"/>
  </r>
  <r>
    <x v="3"/>
    <x v="0"/>
    <n v="2025"/>
    <x v="3"/>
    <n v="609.78113412607968"/>
    <n v="250"/>
    <n v="171"/>
    <n v="-0.03"/>
    <x v="1"/>
    <n v="152445.28353151993"/>
    <n v="48172.709595960296"/>
  </r>
  <r>
    <x v="4"/>
    <x v="1"/>
    <n v="2025"/>
    <x v="3"/>
    <n v="798.72793304836466"/>
    <n v="321"/>
    <n v="192"/>
    <n v="-0.03"/>
    <x v="1"/>
    <n v="256391.66650852506"/>
    <n v="103035.90336323903"/>
  </r>
  <r>
    <x v="5"/>
    <x v="2"/>
    <n v="2025"/>
    <x v="3"/>
    <n v="532.32195282893963"/>
    <n v="324"/>
    <n v="196"/>
    <n v="-0.03"/>
    <x v="1"/>
    <n v="172472.31271657645"/>
    <n v="68137.209962104273"/>
  </r>
  <r>
    <x v="6"/>
    <x v="0"/>
    <n v="2025"/>
    <x v="3"/>
    <n v="245.12548645941592"/>
    <n v="322"/>
    <n v="174"/>
    <n v="-0.03"/>
    <x v="1"/>
    <n v="78930.406639931927"/>
    <n v="36278.57199599356"/>
  </r>
  <r>
    <x v="7"/>
    <x v="1"/>
    <n v="2025"/>
    <x v="3"/>
    <n v="227.74408637692378"/>
    <n v="339"/>
    <n v="200"/>
    <n v="-0.03"/>
    <x v="1"/>
    <n v="77205.245281777155"/>
    <n v="31656.428006392405"/>
  </r>
  <r>
    <x v="8"/>
    <x v="2"/>
    <n v="2025"/>
    <x v="3"/>
    <n v="187.99896550065952"/>
    <n v="389"/>
    <n v="149"/>
    <n v="-0.03"/>
    <x v="1"/>
    <n v="73131.597579756548"/>
    <n v="45119.751720158289"/>
  </r>
  <r>
    <x v="9"/>
    <x v="0"/>
    <n v="2025"/>
    <x v="3"/>
    <n v="272.06835329402833"/>
    <n v="280"/>
    <n v="124"/>
    <n v="-0.03"/>
    <x v="1"/>
    <n v="76179.138922327926"/>
    <n v="42442.663113868417"/>
  </r>
  <r>
    <x v="10"/>
    <x v="1"/>
    <n v="2025"/>
    <x v="3"/>
    <n v="90.129155734221143"/>
    <n v="339"/>
    <n v="155"/>
    <n v="-0.03"/>
    <x v="1"/>
    <n v="30553.783793900966"/>
    <n v="16583.764655096689"/>
  </r>
  <r>
    <x v="11"/>
    <x v="2"/>
    <n v="2025"/>
    <x v="3"/>
    <n v="389.44331258196075"/>
    <n v="379"/>
    <n v="165"/>
    <n v="-0.03"/>
    <x v="1"/>
    <n v="147599.01546856313"/>
    <n v="83340.868892539598"/>
  </r>
  <r>
    <x v="12"/>
    <x v="0"/>
    <n v="2025"/>
    <x v="3"/>
    <n v="738.33302146061999"/>
    <n v="276"/>
    <n v="195"/>
    <n v="-0.03"/>
    <x v="1"/>
    <n v="203779.91392313113"/>
    <n v="59804.974738310222"/>
  </r>
  <r>
    <x v="13"/>
    <x v="1"/>
    <n v="2025"/>
    <x v="3"/>
    <n v="122.89313586197436"/>
    <n v="271"/>
    <n v="152"/>
    <n v="-0.03"/>
    <x v="1"/>
    <n v="33304.039818595054"/>
    <n v="14624.283167574949"/>
  </r>
  <r>
    <x v="14"/>
    <x v="2"/>
    <n v="2025"/>
    <x v="3"/>
    <n v="1162.6547611611263"/>
    <n v="381"/>
    <n v="179"/>
    <n v="-0.03"/>
    <x v="1"/>
    <n v="442971.46400238911"/>
    <n v="234856.26175454751"/>
  </r>
  <r>
    <x v="15"/>
    <x v="0"/>
    <n v="2025"/>
    <x v="3"/>
    <n v="88.371752782222856"/>
    <n v="300"/>
    <n v="155"/>
    <n v="-0.03"/>
    <x v="1"/>
    <n v="26511.525834666856"/>
    <n v="12813.904153422314"/>
  </r>
  <r>
    <x v="16"/>
    <x v="1"/>
    <n v="2025"/>
    <x v="3"/>
    <n v="863.4442429517452"/>
    <n v="323"/>
    <n v="151"/>
    <n v="-0.03"/>
    <x v="1"/>
    <n v="278892.49047341372"/>
    <n v="148512.40978770016"/>
  </r>
  <r>
    <x v="17"/>
    <x v="2"/>
    <n v="2025"/>
    <x v="3"/>
    <n v="726.82525079007075"/>
    <n v="348"/>
    <n v="163"/>
    <n v="-0.03"/>
    <x v="1"/>
    <n v="252935.18727494462"/>
    <n v="134462.67139616309"/>
  </r>
  <r>
    <x v="18"/>
    <x v="0"/>
    <n v="2025"/>
    <x v="3"/>
    <n v="618.12200952062983"/>
    <n v="392"/>
    <n v="112"/>
    <n v="-0.03"/>
    <x v="1"/>
    <n v="242303.82773208688"/>
    <n v="173074.16266577636"/>
  </r>
  <r>
    <x v="19"/>
    <x v="1"/>
    <n v="2025"/>
    <x v="3"/>
    <n v="476.76624727866511"/>
    <n v="320"/>
    <n v="161"/>
    <n v="-0.03"/>
    <x v="1"/>
    <n v="152565.19912917283"/>
    <n v="75805.833317307755"/>
  </r>
  <r>
    <x v="20"/>
    <x v="2"/>
    <n v="2025"/>
    <x v="3"/>
    <n v="288.96631534754607"/>
    <n v="362"/>
    <n v="146"/>
    <n v="-0.03"/>
    <x v="1"/>
    <n v="104605.80615581168"/>
    <n v="62416.724115069948"/>
  </r>
  <r>
    <x v="21"/>
    <x v="0"/>
    <n v="2025"/>
    <x v="3"/>
    <n v="236.05517300352875"/>
    <n v="316"/>
    <n v="182"/>
    <n v="-0.03"/>
    <x v="1"/>
    <n v="74593.434669115086"/>
    <n v="31631.393182472853"/>
  </r>
  <r>
    <x v="22"/>
    <x v="1"/>
    <n v="2025"/>
    <x v="3"/>
    <n v="425.80249948844028"/>
    <n v="293"/>
    <n v="161"/>
    <n v="-0.03"/>
    <x v="1"/>
    <n v="124760.132350113"/>
    <n v="56205.929932474115"/>
  </r>
  <r>
    <x v="0"/>
    <x v="0"/>
    <n v="2025"/>
    <x v="4"/>
    <n v="682.77110375585869"/>
    <n v="304"/>
    <n v="165"/>
    <n v="-0.03"/>
    <x v="1"/>
    <n v="207562.41554178105"/>
    <n v="94905.183422064365"/>
  </r>
  <r>
    <x v="1"/>
    <x v="1"/>
    <n v="2025"/>
    <x v="4"/>
    <n v="885.41488160462677"/>
    <n v="268"/>
    <n v="163"/>
    <n v="-0.03"/>
    <x v="1"/>
    <n v="237291.18827003997"/>
    <n v="92968.56256848581"/>
  </r>
  <r>
    <x v="2"/>
    <x v="2"/>
    <n v="2025"/>
    <x v="4"/>
    <n v="597.33954643700929"/>
    <n v="322"/>
    <n v="193"/>
    <n v="-0.03"/>
    <x v="1"/>
    <n v="192343.33395271699"/>
    <n v="77056.801490374201"/>
  </r>
  <r>
    <x v="3"/>
    <x v="0"/>
    <n v="2025"/>
    <x v="4"/>
    <n v="813.04151216810624"/>
    <n v="250"/>
    <n v="171"/>
    <n v="-0.03"/>
    <x v="1"/>
    <n v="203260.37804202657"/>
    <n v="64230.279461280392"/>
  </r>
  <r>
    <x v="4"/>
    <x v="1"/>
    <n v="2025"/>
    <x v="4"/>
    <n v="602.54914247508214"/>
    <n v="321"/>
    <n v="192"/>
    <n v="-0.03"/>
    <x v="1"/>
    <n v="193418.27473450138"/>
    <n v="77728.839379285593"/>
  </r>
  <r>
    <x v="5"/>
    <x v="2"/>
    <n v="2025"/>
    <x v="4"/>
    <n v="395.94194838516171"/>
    <n v="324"/>
    <n v="196"/>
    <n v="-0.03"/>
    <x v="1"/>
    <n v="128285.19127679239"/>
    <n v="50680.569393300699"/>
  </r>
  <r>
    <x v="6"/>
    <x v="0"/>
    <n v="2025"/>
    <x v="4"/>
    <n v="306.40685807426991"/>
    <n v="322"/>
    <n v="174"/>
    <n v="-0.03"/>
    <x v="1"/>
    <n v="98663.008299914916"/>
    <n v="45348.214994991948"/>
  </r>
  <r>
    <x v="7"/>
    <x v="1"/>
    <n v="2025"/>
    <x v="4"/>
    <n v="162.67434741208839"/>
    <n v="339"/>
    <n v="200"/>
    <n v="-0.03"/>
    <x v="1"/>
    <n v="55146.603772697963"/>
    <n v="22611.734290280288"/>
  </r>
  <r>
    <x v="8"/>
    <x v="2"/>
    <n v="2025"/>
    <x v="4"/>
    <n v="152.74915946928587"/>
    <n v="389"/>
    <n v="149"/>
    <n v="-0.03"/>
    <x v="1"/>
    <n v="59419.423033552201"/>
    <n v="36659.798272628606"/>
  </r>
  <r>
    <x v="9"/>
    <x v="0"/>
    <n v="2025"/>
    <x v="4"/>
    <n v="222.36355798069621"/>
    <n v="280"/>
    <n v="124"/>
    <n v="-0.03"/>
    <x v="1"/>
    <n v="62261.796234594942"/>
    <n v="34688.71504498861"/>
  </r>
  <r>
    <x v="10"/>
    <x v="1"/>
    <n v="2025"/>
    <x v="4"/>
    <n v="123.92758913455407"/>
    <n v="339"/>
    <n v="155"/>
    <n v="-0.03"/>
    <x v="1"/>
    <n v="42011.452716613829"/>
    <n v="22802.676400757948"/>
  </r>
  <r>
    <x v="11"/>
    <x v="2"/>
    <n v="2025"/>
    <x v="4"/>
    <n v="468.16057789108044"/>
    <n v="379"/>
    <n v="165"/>
    <n v="-0.03"/>
    <x v="1"/>
    <n v="177432.85902071948"/>
    <n v="100186.36366869121"/>
  </r>
  <r>
    <x v="12"/>
    <x v="0"/>
    <n v="2025"/>
    <x v="4"/>
    <n v="763.3612594762343"/>
    <n v="276"/>
    <n v="195"/>
    <n v="-0.03"/>
    <x v="1"/>
    <n v="210687.70761544065"/>
    <n v="61832.262017574976"/>
  </r>
  <r>
    <x v="13"/>
    <x v="1"/>
    <n v="2025"/>
    <x v="4"/>
    <n v="135.94373436059112"/>
    <n v="271"/>
    <n v="152"/>
    <n v="-0.03"/>
    <x v="1"/>
    <n v="36840.752011720193"/>
    <n v="16177.304388910343"/>
  </r>
  <r>
    <x v="14"/>
    <x v="2"/>
    <n v="2025"/>
    <x v="4"/>
    <n v="922.74187393740181"/>
    <n v="381"/>
    <n v="179"/>
    <n v="-0.03"/>
    <x v="1"/>
    <n v="351564.6539701501"/>
    <n v="186393.85853535516"/>
  </r>
  <r>
    <x v="15"/>
    <x v="0"/>
    <n v="2025"/>
    <x v="4"/>
    <n v="88.371752782222856"/>
    <n v="300"/>
    <n v="155"/>
    <n v="-0.03"/>
    <x v="1"/>
    <n v="26511.525834666856"/>
    <n v="12813.904153422314"/>
  </r>
  <r>
    <x v="16"/>
    <x v="1"/>
    <n v="2025"/>
    <x v="4"/>
    <n v="784.22917479103455"/>
    <n v="323"/>
    <n v="151"/>
    <n v="-0.03"/>
    <x v="1"/>
    <n v="253306.02345750417"/>
    <n v="134887.41806405794"/>
  </r>
  <r>
    <x v="17"/>
    <x v="2"/>
    <n v="2025"/>
    <x v="4"/>
    <n v="883.75342993792697"/>
    <n v="348"/>
    <n v="163"/>
    <n v="-0.03"/>
    <x v="1"/>
    <n v="307546.19361839857"/>
    <n v="163494.38453851649"/>
  </r>
  <r>
    <x v="18"/>
    <x v="0"/>
    <n v="2025"/>
    <x v="4"/>
    <n v="582.94433418205745"/>
    <n v="392"/>
    <n v="112"/>
    <n v="-0.03"/>
    <x v="1"/>
    <n v="228514.17899936653"/>
    <n v="163224.41357097609"/>
  </r>
  <r>
    <x v="19"/>
    <x v="1"/>
    <n v="2025"/>
    <x v="4"/>
    <n v="349.12803934579415"/>
    <n v="320"/>
    <n v="161"/>
    <n v="-0.03"/>
    <x v="1"/>
    <n v="111720.97259065413"/>
    <n v="55511.358255981271"/>
  </r>
  <r>
    <x v="20"/>
    <x v="2"/>
    <n v="2025"/>
    <x v="4"/>
    <n v="291.71837549371321"/>
    <n v="362"/>
    <n v="146"/>
    <n v="-0.03"/>
    <x v="1"/>
    <n v="105602.05192872418"/>
    <n v="63011.169106642054"/>
  </r>
  <r>
    <x v="21"/>
    <x v="0"/>
    <n v="2025"/>
    <x v="4"/>
    <n v="303.1445379624264"/>
    <n v="316"/>
    <n v="182"/>
    <n v="-0.03"/>
    <x v="1"/>
    <n v="95793.673996126745"/>
    <n v="40621.368086965136"/>
  </r>
  <r>
    <x v="22"/>
    <x v="1"/>
    <n v="2025"/>
    <x v="4"/>
    <n v="351.58004544917088"/>
    <n v="293"/>
    <n v="161"/>
    <n v="-0.03"/>
    <x v="1"/>
    <n v="103012.95331660706"/>
    <n v="46408.565999290557"/>
  </r>
  <r>
    <x v="0"/>
    <x v="0"/>
    <n v="2025"/>
    <x v="5"/>
    <n v="759.40867662641426"/>
    <n v="304"/>
    <n v="165"/>
    <n v="-0.03"/>
    <x v="1"/>
    <n v="230860.23769442993"/>
    <n v="105557.80605107159"/>
  </r>
  <r>
    <x v="1"/>
    <x v="1"/>
    <n v="2025"/>
    <x v="5"/>
    <n v="984.64241143962806"/>
    <n v="268"/>
    <n v="163"/>
    <n v="-0.03"/>
    <x v="1"/>
    <n v="263884.16626582033"/>
    <n v="103387.45320116094"/>
  </r>
  <r>
    <x v="2"/>
    <x v="2"/>
    <n v="2025"/>
    <x v="5"/>
    <n v="581.04846789781811"/>
    <n v="322"/>
    <n v="193"/>
    <n v="-0.03"/>
    <x v="1"/>
    <n v="187097.60666309742"/>
    <n v="74955.252358818543"/>
  </r>
  <r>
    <x v="3"/>
    <x v="0"/>
    <n v="2025"/>
    <x v="5"/>
    <n v="596.66756134917478"/>
    <n v="250"/>
    <n v="171"/>
    <n v="-0.03"/>
    <x v="1"/>
    <n v="149166.89033729371"/>
    <n v="47136.737346584807"/>
  </r>
  <r>
    <x v="4"/>
    <x v="1"/>
    <n v="2025"/>
    <x v="5"/>
    <n v="721.65769389457523"/>
    <n v="321"/>
    <n v="192"/>
    <n v="-0.03"/>
    <x v="1"/>
    <n v="231652.11974015864"/>
    <n v="93093.84251240021"/>
  </r>
  <r>
    <x v="5"/>
    <x v="2"/>
    <n v="2025"/>
    <x v="5"/>
    <n v="395.94194838516171"/>
    <n v="324"/>
    <n v="196"/>
    <n v="-0.03"/>
    <x v="1"/>
    <n v="128285.19127679239"/>
    <n v="50680.569393300699"/>
  </r>
  <r>
    <x v="6"/>
    <x v="0"/>
    <n v="2025"/>
    <x v="5"/>
    <n v="200.3429456639457"/>
    <n v="322"/>
    <n v="174"/>
    <n v="-0.03"/>
    <x v="1"/>
    <n v="64510.428503790514"/>
    <n v="29650.755958263962"/>
  </r>
  <r>
    <x v="7"/>
    <x v="1"/>
    <n v="2025"/>
    <x v="5"/>
    <n v="223.91645467310991"/>
    <n v="339"/>
    <n v="200"/>
    <n v="-0.03"/>
    <x v="1"/>
    <n v="75907.678134184258"/>
    <n v="31124.387199562276"/>
  </r>
  <r>
    <x v="8"/>
    <x v="2"/>
    <n v="2025"/>
    <x v="5"/>
    <n v="159.46340823716653"/>
    <n v="389"/>
    <n v="149"/>
    <n v="-0.03"/>
    <x v="1"/>
    <n v="62031.265804257782"/>
    <n v="38271.217976919965"/>
  </r>
  <r>
    <x v="9"/>
    <x v="0"/>
    <n v="2025"/>
    <x v="5"/>
    <n v="295.61273002139609"/>
    <n v="280"/>
    <n v="124"/>
    <n v="-0.03"/>
    <x v="1"/>
    <n v="82771.56440599091"/>
    <n v="46115.585883337793"/>
  </r>
  <r>
    <x v="10"/>
    <x v="1"/>
    <n v="2025"/>
    <x v="5"/>
    <n v="119.8308093284531"/>
    <n v="339"/>
    <n v="155"/>
    <n v="-0.03"/>
    <x v="1"/>
    <n v="40622.6443623456"/>
    <n v="22048.868916435371"/>
  </r>
  <r>
    <x v="11"/>
    <x v="2"/>
    <n v="2025"/>
    <x v="5"/>
    <n v="356.29920087285774"/>
    <n v="379"/>
    <n v="165"/>
    <n v="-0.03"/>
    <x v="1"/>
    <n v="135037.39713081307"/>
    <n v="76248.028986791556"/>
  </r>
  <r>
    <x v="12"/>
    <x v="0"/>
    <n v="2025"/>
    <x v="5"/>
    <n v="719.56184294890932"/>
    <n v="276"/>
    <n v="195"/>
    <n v="-0.03"/>
    <x v="1"/>
    <n v="198599.06865389898"/>
    <n v="58284.509278861653"/>
  </r>
  <r>
    <x v="13"/>
    <x v="1"/>
    <n v="2025"/>
    <x v="5"/>
    <n v="126.15578548662855"/>
    <n v="271"/>
    <n v="152"/>
    <n v="-0.03"/>
    <x v="1"/>
    <n v="34188.217866876337"/>
    <n v="15012.538472908796"/>
  </r>
  <r>
    <x v="14"/>
    <x v="2"/>
    <n v="2025"/>
    <x v="5"/>
    <n v="1079.60799250676"/>
    <n v="381"/>
    <n v="179"/>
    <n v="-0.03"/>
    <x v="1"/>
    <n v="411330.64514507557"/>
    <n v="218080.8144863655"/>
  </r>
  <r>
    <x v="15"/>
    <x v="0"/>
    <n v="2025"/>
    <x v="5"/>
    <n v="79.02474046871852"/>
    <n v="300"/>
    <n v="155"/>
    <n v="-0.03"/>
    <x v="1"/>
    <n v="23707.422140615556"/>
    <n v="11458.587367964185"/>
  </r>
  <r>
    <x v="16"/>
    <x v="1"/>
    <n v="2025"/>
    <x v="5"/>
    <n v="926.81629748031355"/>
    <n v="323"/>
    <n v="151"/>
    <n v="-0.03"/>
    <x v="1"/>
    <n v="299361.66408614127"/>
    <n v="159412.40316661392"/>
  </r>
  <r>
    <x v="17"/>
    <x v="2"/>
    <n v="2025"/>
    <x v="5"/>
    <n v="858.97529638826552"/>
    <n v="348"/>
    <n v="163"/>
    <n v="-0.03"/>
    <x v="1"/>
    <n v="298923.40314311639"/>
    <n v="158910.42983182913"/>
  </r>
  <r>
    <x v="18"/>
    <x v="0"/>
    <n v="2025"/>
    <x v="5"/>
    <n v="653.29968485920233"/>
    <n v="392"/>
    <n v="112"/>
    <n v="-0.03"/>
    <x v="1"/>
    <n v="256093.47646480732"/>
    <n v="182923.91176057665"/>
  </r>
  <r>
    <x v="19"/>
    <x v="1"/>
    <n v="2025"/>
    <x v="5"/>
    <n v="476.76624727866511"/>
    <n v="320"/>
    <n v="161"/>
    <n v="-0.03"/>
    <x v="1"/>
    <n v="152565.19912917283"/>
    <n v="75805.833317307755"/>
  </r>
  <r>
    <x v="20"/>
    <x v="2"/>
    <n v="2025"/>
    <x v="5"/>
    <n v="288.96631534754607"/>
    <n v="362"/>
    <n v="146"/>
    <n v="-0.03"/>
    <x v="1"/>
    <n v="104605.80615581168"/>
    <n v="62416.724115069948"/>
  </r>
  <r>
    <x v="21"/>
    <x v="0"/>
    <n v="2025"/>
    <x v="5"/>
    <n v="270.84225113036462"/>
    <n v="316"/>
    <n v="182"/>
    <n v="-0.03"/>
    <x v="1"/>
    <n v="85586.151357195224"/>
    <n v="36292.861651468862"/>
  </r>
  <r>
    <x v="22"/>
    <x v="1"/>
    <n v="2025"/>
    <x v="5"/>
    <n v="468.7733939322278"/>
    <n v="293"/>
    <n v="161"/>
    <n v="-0.03"/>
    <x v="1"/>
    <n v="137350.60442214276"/>
    <n v="61878.0879990540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6DE79-C9A9-4889-848F-2FE9BDD3931B}" name="Preços Ponderados" cacheId="1" dataPosition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outline="1" outlineData="1" compactData="0" multipleFieldFilters="0">
  <location ref="A10:C14" firstHeaderRow="1" firstDataRow="2" firstDataCol="1"/>
  <pivotFields count="12"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numFmtId="165" showAll="0"/>
    <pivotField compact="0" showAll="0"/>
    <pivotField compact="0" showAll="0"/>
    <pivotField compact="0" numFmtId="9" showAll="0"/>
    <pivotField axis="axisCol" compact="0" showAll="0">
      <items count="5">
        <item m="1" x="2"/>
        <item m="1" x="3"/>
        <item x="0"/>
        <item x="1"/>
        <item t="default"/>
      </items>
    </pivotField>
    <pivotField compact="0" numFmtId="44" showAll="0"/>
    <pivotField compact="0" numFmtId="44" showAll="0"/>
    <pivotField dataField="1" compact="0"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8"/>
  </colFields>
  <colItems count="2">
    <i>
      <x v="2"/>
    </i>
    <i>
      <x v="3"/>
    </i>
  </colItems>
  <dataFields count="1">
    <dataField name="Preços Ponderados" fld="11" baseField="1" baseItem="2"/>
  </dataFields>
  <formats count="30">
    <format dxfId="766">
      <pivotArea outline="0" collapsedLevelsAreSubtotals="1" fieldPosition="0"/>
    </format>
    <format dxfId="765">
      <pivotArea type="all" dataOnly="0" outline="0" fieldPosition="0"/>
    </format>
    <format dxfId="764">
      <pivotArea outline="0" collapsedLevelsAreSubtotals="1" fieldPosition="0"/>
    </format>
    <format dxfId="763">
      <pivotArea type="origin" dataOnly="0" labelOnly="1" outline="0" fieldPosition="0"/>
    </format>
    <format dxfId="762">
      <pivotArea field="8" type="button" dataOnly="0" labelOnly="1" outline="0" axis="axisCol" fieldPosition="0"/>
    </format>
    <format dxfId="761">
      <pivotArea type="topRight" dataOnly="0" labelOnly="1" outline="0" fieldPosition="0"/>
    </format>
    <format dxfId="760">
      <pivotArea field="1" type="button" dataOnly="0" labelOnly="1" outline="0" axis="axisRow" fieldPosition="0"/>
    </format>
    <format dxfId="759">
      <pivotArea dataOnly="0" labelOnly="1" outline="0" fieldPosition="0">
        <references count="1">
          <reference field="1" count="0"/>
        </references>
      </pivotArea>
    </format>
    <format dxfId="758">
      <pivotArea dataOnly="0" labelOnly="1" outline="0" fieldPosition="0">
        <references count="1">
          <reference field="8" count="0"/>
        </references>
      </pivotArea>
    </format>
    <format dxfId="757">
      <pivotArea type="origin" dataOnly="0" labelOnly="1" outline="0" fieldPosition="0"/>
    </format>
    <format dxfId="756">
      <pivotArea field="8" type="button" dataOnly="0" labelOnly="1" outline="0" axis="axisCol" fieldPosition="0"/>
    </format>
    <format dxfId="755">
      <pivotArea type="topRight" dataOnly="0" labelOnly="1" outline="0" fieldPosition="0"/>
    </format>
    <format dxfId="754">
      <pivotArea field="1" type="button" dataOnly="0" labelOnly="1" outline="0" axis="axisRow" fieldPosition="0"/>
    </format>
    <format dxfId="753">
      <pivotArea dataOnly="0" labelOnly="1" outline="0" fieldPosition="0">
        <references count="1">
          <reference field="8" count="0"/>
        </references>
      </pivotArea>
    </format>
    <format dxfId="752">
      <pivotArea type="origin" dataOnly="0" labelOnly="1" outline="0" fieldPosition="0"/>
    </format>
    <format dxfId="751">
      <pivotArea field="8" type="button" dataOnly="0" labelOnly="1" outline="0" axis="axisCol" fieldPosition="0"/>
    </format>
    <format dxfId="750">
      <pivotArea type="topRight" dataOnly="0" labelOnly="1" outline="0" fieldPosition="0"/>
    </format>
    <format dxfId="749">
      <pivotArea field="1" type="button" dataOnly="0" labelOnly="1" outline="0" axis="axisRow" fieldPosition="0"/>
    </format>
    <format dxfId="748">
      <pivotArea dataOnly="0" labelOnly="1" outline="0" fieldPosition="0">
        <references count="1">
          <reference field="8" count="0"/>
        </references>
      </pivotArea>
    </format>
    <format dxfId="747">
      <pivotArea type="origin" dataOnly="0" labelOnly="1" outline="0" fieldPosition="0"/>
    </format>
    <format dxfId="746">
      <pivotArea field="8" type="button" dataOnly="0" labelOnly="1" outline="0" axis="axisCol" fieldPosition="0"/>
    </format>
    <format dxfId="745">
      <pivotArea type="topRight" dataOnly="0" labelOnly="1" outline="0" fieldPosition="0"/>
    </format>
    <format dxfId="744">
      <pivotArea field="1" type="button" dataOnly="0" labelOnly="1" outline="0" axis="axisRow" fieldPosition="0"/>
    </format>
    <format dxfId="743">
      <pivotArea dataOnly="0" labelOnly="1" outline="0" fieldPosition="0">
        <references count="1">
          <reference field="8" count="0"/>
        </references>
      </pivotArea>
    </format>
    <format dxfId="742">
      <pivotArea field="8" type="button" dataOnly="0" labelOnly="1" outline="0" axis="axisCol" fieldPosition="0"/>
    </format>
    <format dxfId="741">
      <pivotArea type="topRight" dataOnly="0" labelOnly="1" outline="0" fieldPosition="0"/>
    </format>
    <format dxfId="740">
      <pivotArea field="1" type="button" dataOnly="0" labelOnly="1" outline="0" axis="axisRow" fieldPosition="0"/>
    </format>
    <format dxfId="739">
      <pivotArea dataOnly="0" labelOnly="1" outline="0" fieldPosition="0">
        <references count="1">
          <reference field="8" count="0"/>
        </references>
      </pivotArea>
    </format>
    <format dxfId="738">
      <pivotArea type="origin" dataOnly="0" labelOnly="1" outline="0" fieldPosition="0"/>
    </format>
    <format dxfId="737">
      <pivotArea dataOnly="0" labelOnly="1" outline="0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20253-B0FC-4CEE-A0E1-C80811870823}" name="Média do volume" cacheId="1" dataPosition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outline="1" outlineData="1" compactData="0" multipleFieldFilters="0">
  <location ref="A3:C7" firstHeaderRow="1" firstDataRow="2" firstDataCol="1"/>
  <pivotFields count="12"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165" showAll="0"/>
    <pivotField compact="0" showAll="0"/>
    <pivotField compact="0" showAll="0"/>
    <pivotField compact="0" numFmtId="9" showAll="0"/>
    <pivotField axis="axisCol" compact="0" showAll="0">
      <items count="5">
        <item m="1" x="2"/>
        <item m="1" x="3"/>
        <item x="0"/>
        <item x="1"/>
        <item t="default"/>
      </items>
    </pivotField>
    <pivotField compact="0" numFmtId="44" showAll="0"/>
    <pivotField compact="0" numFmtId="44" showAll="0"/>
    <pivotField compact="0"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8"/>
  </colFields>
  <colItems count="2">
    <i>
      <x v="2"/>
    </i>
    <i>
      <x v="3"/>
    </i>
  </colItems>
  <dataFields count="1">
    <dataField name="Média de Volume de vendas (t)" fld="4" subtotal="average" baseField="1" baseItem="0" numFmtId="43"/>
  </dataFields>
  <formats count="28">
    <format dxfId="794">
      <pivotArea outline="0" collapsedLevelsAreSubtotals="1" fieldPosition="0"/>
    </format>
    <format dxfId="793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792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format>
    <format dxfId="791">
      <pivotArea type="all" dataOnly="0" outline="0" fieldPosition="0"/>
    </format>
    <format dxfId="790">
      <pivotArea outline="0" collapsedLevelsAreSubtotals="1" fieldPosition="0"/>
    </format>
    <format dxfId="789">
      <pivotArea type="origin" dataOnly="0" labelOnly="1" outline="0" fieldPosition="0"/>
    </format>
    <format dxfId="788">
      <pivotArea field="8" type="button" dataOnly="0" labelOnly="1" outline="0" axis="axisCol" fieldPosition="0"/>
    </format>
    <format dxfId="787">
      <pivotArea type="topRight" dataOnly="0" labelOnly="1" outline="0" fieldPosition="0"/>
    </format>
    <format dxfId="786">
      <pivotArea field="1" type="button" dataOnly="0" labelOnly="1" outline="0" axis="axisRow" fieldPosition="0"/>
    </format>
    <format dxfId="785">
      <pivotArea dataOnly="0" labelOnly="1" outline="0" fieldPosition="0">
        <references count="1">
          <reference field="1" count="0"/>
        </references>
      </pivotArea>
    </format>
    <format dxfId="784">
      <pivotArea dataOnly="0" labelOnly="1" outline="0" fieldPosition="0">
        <references count="1">
          <reference field="8" count="0"/>
        </references>
      </pivotArea>
    </format>
    <format dxfId="783">
      <pivotArea type="origin" dataOnly="0" labelOnly="1" outline="0" fieldPosition="0"/>
    </format>
    <format dxfId="782">
      <pivotArea field="8" type="button" dataOnly="0" labelOnly="1" outline="0" axis="axisCol" fieldPosition="0"/>
    </format>
    <format dxfId="781">
      <pivotArea type="topRight" dataOnly="0" labelOnly="1" outline="0" fieldPosition="0"/>
    </format>
    <format dxfId="780">
      <pivotArea field="1" type="button" dataOnly="0" labelOnly="1" outline="0" axis="axisRow" fieldPosition="0"/>
    </format>
    <format dxfId="779">
      <pivotArea dataOnly="0" labelOnly="1" outline="0" fieldPosition="0">
        <references count="1">
          <reference field="8" count="0"/>
        </references>
      </pivotArea>
    </format>
    <format dxfId="778">
      <pivotArea type="origin" dataOnly="0" labelOnly="1" outline="0" fieldPosition="0"/>
    </format>
    <format dxfId="777">
      <pivotArea field="8" type="button" dataOnly="0" labelOnly="1" outline="0" axis="axisCol" fieldPosition="0"/>
    </format>
    <format dxfId="776">
      <pivotArea type="topRight" dataOnly="0" labelOnly="1" outline="0" fieldPosition="0"/>
    </format>
    <format dxfId="775">
      <pivotArea field="1" type="button" dataOnly="0" labelOnly="1" outline="0" axis="axisRow" fieldPosition="0"/>
    </format>
    <format dxfId="774">
      <pivotArea dataOnly="0" labelOnly="1" outline="0" fieldPosition="0">
        <references count="1">
          <reference field="8" count="0"/>
        </references>
      </pivotArea>
    </format>
    <format dxfId="773">
      <pivotArea field="8" type="button" dataOnly="0" labelOnly="1" outline="0" axis="axisCol" fieldPosition="0"/>
    </format>
    <format dxfId="772">
      <pivotArea type="topRight" dataOnly="0" labelOnly="1" outline="0" fieldPosition="0"/>
    </format>
    <format dxfId="771">
      <pivotArea field="1" type="button" dataOnly="0" labelOnly="1" outline="0" axis="axisRow" fieldPosition="0"/>
    </format>
    <format dxfId="770">
      <pivotArea dataOnly="0" labelOnly="1" outline="0" fieldPosition="0">
        <references count="1">
          <reference field="8" count="0"/>
        </references>
      </pivotArea>
    </format>
    <format dxfId="769">
      <pivotArea outline="0" collapsedLevelsAreSubtotals="1" fieldPosition="0"/>
    </format>
    <format dxfId="768">
      <pivotArea type="origin" dataOnly="0" labelOnly="1" outline="0" fieldPosition="0"/>
    </format>
    <format dxfId="767">
      <pivotArea dataOnly="0" labelOnly="1" outline="0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36A3D-8236-4AB8-BB21-7C2AB8CB5749}" name="Lucro total por período" cacheId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outline="1" outlineData="1" compactData="0" multipleFieldFilters="0" chartFormat="8">
  <location ref="F3:I11" firstHeaderRow="0" firstDataRow="1" firstDataCol="2"/>
  <pivotFields count="12"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compact="0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dataField="1" compact="0" numFmtId="165" showAll="0"/>
    <pivotField compact="0" showAll="0"/>
    <pivotField compact="0" showAll="0"/>
    <pivotField compact="0" numFmtId="9" showAll="0"/>
    <pivotField axis="axisRow" compact="0" showAll="0" sortType="ascending">
      <items count="5">
        <item m="1" x="2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44" showAll="0"/>
    <pivotField dataField="1" compact="0" numFmtId="44" showAll="0"/>
    <pivotField compact="0" dragToRow="0" dragToCol="0" dragToPage="0" showAll="0" defaultSubtotal="0"/>
  </pivotFields>
  <rowFields count="2">
    <field x="8"/>
    <field x="1"/>
  </rowFields>
  <rowItems count="8">
    <i>
      <x v="2"/>
    </i>
    <i r="1">
      <x/>
    </i>
    <i r="1">
      <x v="2"/>
    </i>
    <i r="1">
      <x v="1"/>
    </i>
    <i>
      <x v="3"/>
    </i>
    <i r="1">
      <x/>
    </i>
    <i r="1">
      <x v="2"/>
    </i>
    <i r="1">
      <x v="1"/>
    </i>
  </rowItems>
  <colFields count="1">
    <field x="-2"/>
  </colFields>
  <colItems count="2">
    <i>
      <x/>
    </i>
    <i i="1">
      <x v="1"/>
    </i>
  </colItems>
  <dataFields count="2">
    <dataField name="Soma de Volume de vendas (t)" fld="4" baseField="0" baseItem="0" numFmtId="165"/>
    <dataField name="Soma de Lucro Total" fld="10" baseField="0" baseItem="0" numFmtId="44"/>
  </dataFields>
  <formats count="17">
    <format dxfId="811">
      <pivotArea type="all" dataOnly="0" outline="0" fieldPosition="0"/>
    </format>
    <format dxfId="810">
      <pivotArea outline="0" collapsedLevelsAreSubtotals="1" fieldPosition="0"/>
    </format>
    <format dxfId="809">
      <pivotArea field="8" type="button" dataOnly="0" labelOnly="1" outline="0" axis="axisRow" fieldPosition="0"/>
    </format>
    <format dxfId="808">
      <pivotArea field="1" type="button" dataOnly="0" labelOnly="1" outline="0" axis="axisRow" fieldPosition="1"/>
    </format>
    <format dxfId="807">
      <pivotArea dataOnly="0" labelOnly="1" outline="0" fieldPosition="0">
        <references count="1">
          <reference field="8" count="0"/>
        </references>
      </pivotArea>
    </format>
    <format dxfId="806">
      <pivotArea dataOnly="0" labelOnly="1" outline="0" fieldPosition="0">
        <references count="2">
          <reference field="1" count="0"/>
          <reference field="8" count="1" selected="0">
            <x v="2"/>
          </reference>
        </references>
      </pivotArea>
    </format>
    <format dxfId="805">
      <pivotArea dataOnly="0" labelOnly="1" outline="0" fieldPosition="0">
        <references count="2">
          <reference field="1" count="0"/>
          <reference field="8" count="1" selected="0">
            <x v="3"/>
          </reference>
        </references>
      </pivotArea>
    </format>
    <format dxfId="8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3">
      <pivotArea field="8" type="button" dataOnly="0" labelOnly="1" outline="0" axis="axisRow" fieldPosition="0"/>
    </format>
    <format dxfId="802">
      <pivotArea field="1" type="button" dataOnly="0" labelOnly="1" outline="0" axis="axisRow" fieldPosition="1"/>
    </format>
    <format dxfId="8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0">
      <pivotArea field="8" type="button" dataOnly="0" labelOnly="1" outline="0" axis="axisRow" fieldPosition="0"/>
    </format>
    <format dxfId="799">
      <pivotArea field="1" type="button" dataOnly="0" labelOnly="1" outline="0" axis="axisRow" fieldPosition="1"/>
    </format>
    <format dxfId="7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7">
      <pivotArea field="8" type="button" dataOnly="0" labelOnly="1" outline="0" axis="axisRow" fieldPosition="0"/>
    </format>
    <format dxfId="796">
      <pivotArea field="1" type="button" dataOnly="0" labelOnly="1" outline="0" axis="axisRow" fieldPosition="1"/>
    </format>
    <format dxfId="7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68724-9FA3-41CB-AB12-B779C796C39C}" name="Tabela dinâmica18" cacheId="1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A7:C11" firstHeaderRow="1" firstDataRow="2" firstDataCol="1"/>
  <pivotFields count="12"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numFmtId="165" showAll="0"/>
    <pivotField compact="0" showAll="0"/>
    <pivotField compact="0" showAll="0"/>
    <pivotField compact="0" numFmtId="9" showAll="0"/>
    <pivotField axis="axisCol" compact="0" showAll="0">
      <items count="5">
        <item m="1" x="2"/>
        <item m="1" x="3"/>
        <item x="0"/>
        <item x="1"/>
        <item t="default"/>
      </items>
    </pivotField>
    <pivotField compact="0" numFmtId="44" showAll="0"/>
    <pivotField compact="0" numFmtId="44" showAll="0"/>
    <pivotField dataField="1" compact="0"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8"/>
  </colFields>
  <colItems count="2">
    <i>
      <x v="2"/>
    </i>
    <i>
      <x v="3"/>
    </i>
  </colItems>
  <dataFields count="1">
    <dataField name="Soma de Preço Ponderado" fld="11" baseField="0" baseItem="0"/>
  </dataFields>
  <formats count="1">
    <format dxfId="7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0AB97-D2BD-4D84-8CDA-8A65A6F47215}" name="Tabela dinâmica26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A13:E18" firstHeaderRow="1" firstDataRow="3" firstDataCol="1"/>
  <pivotFields count="11">
    <pivotField showAll="0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showAll="0"/>
    <pivotField showAll="0"/>
    <pivotField numFmtId="9" showAll="0"/>
    <pivotField axis="axisCol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numFmtId="44" showAll="0"/>
  </pivotFields>
  <rowFields count="1">
    <field x="1"/>
  </rowFields>
  <rowItems count="3">
    <i>
      <x/>
    </i>
    <i>
      <x v="2"/>
    </i>
    <i>
      <x v="1"/>
    </i>
  </rowItems>
  <colFields count="2">
    <field x="8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oma de Lucro Total" fld="10" baseField="0" baseItem="0" numFmtId="44"/>
    <dataField name="Soma de Lucro Total2" fld="10" showDataAs="percentDiff" baseField="8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3A64A-3A3B-4A39-B5D1-05E6BAD0B72A}" name="Tabelateste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A23:B29" firstHeaderRow="1" firstDataRow="2" firstDataCol="1"/>
  <pivotFields count="11">
    <pivotField axis="axisRow" showAll="0" measureFilter="1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numFmtId="165" showAll="0"/>
    <pivotField showAll="0"/>
    <pivotField showAll="0"/>
    <pivotField numFmtId="9" showAll="0"/>
    <pivotField axis="axisCol" showAll="0">
      <items count="3">
        <item h="1" x="0"/>
        <item x="1"/>
        <item t="default"/>
      </items>
    </pivotField>
    <pivotField numFmtId="44" showAll="0"/>
    <pivotField dataField="1" numFmtId="44" showAll="0"/>
  </pivotFields>
  <rowFields count="1">
    <field x="0"/>
  </rowFields>
  <rowItems count="5">
    <i>
      <x/>
    </i>
    <i>
      <x v="16"/>
    </i>
    <i>
      <x v="17"/>
    </i>
    <i>
      <x v="18"/>
    </i>
    <i>
      <x v="14"/>
    </i>
  </rowItems>
  <colFields count="1">
    <field x="8"/>
  </colFields>
  <colItems count="1">
    <i>
      <x v="1"/>
    </i>
  </colItems>
  <dataFields count="1">
    <dataField name="Soma de Lucro Total" fld="10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ADAB9-1822-4A1C-98E5-F78C03D83B6F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1:F7" firstHeaderRow="1" firstDataRow="1" firstDataCol="1"/>
  <pivotFields count="11">
    <pivotField axis="axisRow" showAll="0" measureFilter="1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numFmtId="9" showAll="0"/>
    <pivotField showAll="0"/>
    <pivotField dataField="1" numFmtId="44" showAll="0"/>
    <pivotField numFmtId="44" showAll="0"/>
  </pivotFields>
  <rowFields count="1">
    <field x="0"/>
  </rowFields>
  <rowItems count="6">
    <i>
      <x v="18"/>
    </i>
    <i>
      <x v="4"/>
    </i>
    <i>
      <x v="16"/>
    </i>
    <i>
      <x v="17"/>
    </i>
    <i>
      <x v="14"/>
    </i>
    <i t="grand">
      <x/>
    </i>
  </rowItems>
  <colItems count="1">
    <i/>
  </colItems>
  <dataFields count="1">
    <dataField name="Soma de Faturamento" fld="9" baseField="0" baseItem="0" numFmtId="44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111DA-9DC2-4EE9-8270-4220F183F023}" name="Tabela dinâmica23" cacheId="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outline="1" outlineData="1" compactData="0" multipleFieldFilters="0" chartFormat="13">
  <location ref="F48:H56" firstHeaderRow="1" firstDataRow="1" firstDataCol="2"/>
  <pivotFields count="12">
    <pivotField compact="0" showAll="0"/>
    <pivotField axis="axisRow" compact="0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65" showAll="0"/>
    <pivotField compact="0" showAll="0"/>
    <pivotField compact="0" showAll="0"/>
    <pivotField compact="0" numFmtId="9" showAll="0"/>
    <pivotField axis="axisRow" compact="0" showAll="0" sortType="ascending">
      <items count="5">
        <item m="1" x="2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showAll="0"/>
    <pivotField dataField="1" compact="0" numFmtId="44" showAll="0"/>
    <pivotField compact="0" dragToRow="0" dragToCol="0" dragToPage="0" showAll="0" defaultSubtotal="0"/>
  </pivotFields>
  <rowFields count="2">
    <field x="8"/>
    <field x="1"/>
  </rowFields>
  <rowItems count="8">
    <i>
      <x v="2"/>
    </i>
    <i r="1">
      <x/>
    </i>
    <i r="1">
      <x v="2"/>
    </i>
    <i r="1">
      <x v="1"/>
    </i>
    <i>
      <x v="3"/>
    </i>
    <i r="1">
      <x/>
    </i>
    <i r="1">
      <x v="2"/>
    </i>
    <i r="1">
      <x v="1"/>
    </i>
  </rowItems>
  <colItems count="1">
    <i/>
  </colItems>
  <dataFields count="1">
    <dataField name="Soma de Lucro Total" fld="10" baseField="0" baseItem="0" numFmtId="44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18F87-88F2-43D9-946A-B70FBAB0B56C}" name="Tabela dinâmica19" cacheId="1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A1:C5" firstHeaderRow="1" firstDataRow="2" firstDataCol="1"/>
  <pivotFields count="12"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dataField="1" compact="0" numFmtId="165" showAll="0"/>
    <pivotField compact="0" showAll="0"/>
    <pivotField compact="0" showAll="0"/>
    <pivotField compact="0" numFmtId="9" showAll="0"/>
    <pivotField axis="axisCol" compact="0" showAll="0">
      <items count="5">
        <item m="1" x="2"/>
        <item m="1" x="3"/>
        <item x="0"/>
        <item x="1"/>
        <item t="default"/>
      </items>
    </pivotField>
    <pivotField compact="0" numFmtId="44" showAll="0"/>
    <pivotField compact="0" numFmtId="44" showAll="0"/>
    <pivotField compact="0"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8"/>
  </colFields>
  <colItems count="2">
    <i>
      <x v="2"/>
    </i>
    <i>
      <x v="3"/>
    </i>
  </colItems>
  <dataFields count="1">
    <dataField name="Média de Volume de vendas (t)" fld="4" subtotal="average" baseField="1" baseItem="0" numFmtId="165"/>
  </dataFields>
  <formats count="3">
    <format dxfId="736">
      <pivotArea outline="0" collapsedLevelsAreSubtotals="1" fieldPosition="0"/>
    </format>
    <format dxfId="735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734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D8FAB-6350-43DE-8D76-1685F2228019}" name="Tabela dinâmica2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G23:I27" firstHeaderRow="1" firstDataRow="2" firstDataCol="1"/>
  <pivotFields count="11"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showAll="0"/>
    <pivotField showAll="0"/>
    <pivotField numFmtId="9" showAll="0"/>
    <pivotField axis="axisCol" showAll="0">
      <items count="3">
        <item x="0"/>
        <item x="1"/>
        <item t="default"/>
      </items>
    </pivotField>
    <pivotField numFmtId="44" showAll="0"/>
    <pivotField dataField="1" numFmtId="44" showAll="0"/>
  </pivotFields>
  <rowFields count="1">
    <field x="1"/>
  </rowFields>
  <rowItems count="3">
    <i>
      <x v="1"/>
    </i>
    <i>
      <x v="2"/>
    </i>
    <i>
      <x/>
    </i>
  </rowItems>
  <colFields count="1">
    <field x="8"/>
  </colFields>
  <colItems count="2">
    <i>
      <x/>
    </i>
    <i>
      <x v="1"/>
    </i>
  </colItems>
  <dataFields count="1">
    <dataField name="Soma de Lucro Total" fld="10" baseField="0" baseItem="0" numFmtId="44"/>
  </dataFields>
  <chartFormats count="7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07171-0BD1-407D-A278-B37EC42DA9FD}" name="Tabela dinâmica2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>
  <location ref="D23:E29" firstHeaderRow="1" firstDataRow="1" firstDataCol="1"/>
  <pivotFields count="11">
    <pivotField showAll="0" measureFilter="1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showAll="0"/>
    <pivotField showAll="0"/>
    <pivotField numFmtId="9" showAll="0"/>
    <pivotField showAll="0">
      <items count="3">
        <item h="1" x="0"/>
        <item x="1"/>
        <item t="default"/>
      </items>
    </pivotField>
    <pivotField numFmtId="44" showAll="0"/>
    <pivotField dataField="1" numFmtId="4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oma de Lucro Total" fld="10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Cliente" xr10:uid="{91F80214-6CA7-4ED0-A205-BB946895C72E}" sourceName="Cód.Cliente">
  <pivotTables>
    <pivotTable tabId="12" name="Média do volume"/>
    <pivotTable tabId="12" name="Lucro total por período"/>
    <pivotTable tabId="12" name="Preços Ponderados"/>
  </pivotTables>
  <data>
    <tabular pivotCacheId="1999952350">
      <items count="2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o" xr10:uid="{9EFBE9E2-68BF-4F3F-93D1-9CCE14719CBC}" sourceName="Segmento">
  <pivotTables>
    <pivotTable tabId="22" name="Tabela dinâmica27"/>
    <pivotTable tabId="22" name="Tabelateste"/>
    <pivotTable tabId="22" name="Tabela dinâmica28"/>
  </pivotTables>
  <data>
    <tabular pivotCacheId="25840163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.Cliente" xr10:uid="{7071C194-5EAE-470A-97FF-F437E86D8BDE}" cache="SegmentaçãodeDados_Cód.Cliente" caption="Clientes" columnCount="5" rowHeight="257175"/>
  <slicer name="Segmento" xr10:uid="{847AE1DE-4954-417A-88C2-527AA401C639}" cache="SegmentaçãodeDados_Segmento" caption="Segment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D73F81-E4EC-4EC0-B48E-26E3530DC08E}" name="Tabela4" displayName="Tabela4" ref="A1:K139" totalsRowShown="0">
  <autoFilter ref="A1:K139" xr:uid="{014F11FF-9C23-4105-8D6D-03BF2EF6E132}"/>
  <tableColumns count="11">
    <tableColumn id="1" xr3:uid="{CD512D65-8B63-4BE4-8586-CC2A7300A6F7}" name="Cód.Cliente"/>
    <tableColumn id="2" xr3:uid="{21563DF4-DD80-4303-A50D-CC68C9F52C8B}" name="Segmento"/>
    <tableColumn id="3" xr3:uid="{80025DB3-5C13-4342-800E-1297A7F8BB88}" name="Ano"/>
    <tableColumn id="4" xr3:uid="{EBBCC503-C87D-4181-8061-BF170615730E}" name="Mês"/>
    <tableColumn id="5" xr3:uid="{83F917B0-F5EA-43B2-952C-23664362B15C}" name="Volume de vendas (t)" dataDxfId="815" dataCellStyle="Vírgula"/>
    <tableColumn id="6" xr3:uid="{6C4B4F42-B211-42B1-AD55-BECC43990ABA}" name="Preço de Venda Líquido (R$/t)"/>
    <tableColumn id="7" xr3:uid="{D4F6EF4C-35F8-44D2-B8A4-970F8D088EE1}" name="Custos de produção (R$/t)"/>
    <tableColumn id="8" xr3:uid="{DB82E34E-1A89-4F9A-A041-B53CA524491D}" name="Desconto Campanha (%)" dataDxfId="814"/>
    <tableColumn id="9" xr3:uid="{EA6C1E81-C8CC-4DC8-9C08-C186A0712ADA}" name="Período">
      <calculatedColumnFormula>IF(D2&lt;=3, "Antes da campanha", "Depois da campanha")</calculatedColumnFormula>
    </tableColumn>
    <tableColumn id="10" xr3:uid="{D7EBF2A3-35F0-494A-9884-1741B985FB61}" name="Faturamento" dataDxfId="813" dataCellStyle="Moeda">
      <calculatedColumnFormula>E2*F2</calculatedColumnFormula>
    </tableColumn>
    <tableColumn id="11" xr3:uid="{69EC35F5-0E7E-47B0-9C49-F8D4A8460B0B}" name="Lucro Total" dataDxfId="812" dataCellStyle="Moeda">
      <calculatedColumnFormula>(F2-G2)*E2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3211-23AC-4CD5-95D5-DCF9BD2EA574}">
  <dimension ref="J7:L55"/>
  <sheetViews>
    <sheetView showGridLines="0" workbookViewId="0">
      <selection activeCell="G23" sqref="G23"/>
    </sheetView>
  </sheetViews>
  <sheetFormatPr defaultRowHeight="15" x14ac:dyDescent="0.25"/>
  <cols>
    <col min="1" max="1" width="22.5703125" bestFit="1" customWidth="1"/>
    <col min="2" max="2" width="20.140625" bestFit="1" customWidth="1"/>
    <col min="3" max="7" width="13.28515625" bestFit="1" customWidth="1"/>
    <col min="8" max="9" width="12" bestFit="1" customWidth="1"/>
    <col min="10" max="10" width="17.5703125" bestFit="1" customWidth="1"/>
    <col min="11" max="11" width="16.140625" bestFit="1" customWidth="1"/>
    <col min="12" max="12" width="17.5703125" bestFit="1" customWidth="1"/>
    <col min="13" max="13" width="16.140625" bestFit="1" customWidth="1"/>
    <col min="14" max="14" width="22.140625" bestFit="1" customWidth="1"/>
    <col min="15" max="15" width="20.7109375" bestFit="1" customWidth="1"/>
    <col min="16" max="16" width="22.5703125" bestFit="1" customWidth="1"/>
    <col min="17" max="17" width="21.140625" bestFit="1" customWidth="1"/>
  </cols>
  <sheetData>
    <row r="7" spans="10:11" x14ac:dyDescent="0.25">
      <c r="J7" s="2"/>
      <c r="K7" s="2"/>
    </row>
    <row r="8" spans="10:11" x14ac:dyDescent="0.25">
      <c r="J8" s="2"/>
      <c r="K8" s="2"/>
    </row>
    <row r="9" spans="10:11" x14ac:dyDescent="0.25">
      <c r="J9" s="2"/>
      <c r="K9" s="2"/>
    </row>
    <row r="10" spans="10:11" x14ac:dyDescent="0.25">
      <c r="J10" s="2"/>
      <c r="K10" s="2"/>
    </row>
    <row r="11" spans="10:11" x14ac:dyDescent="0.25">
      <c r="J11" s="2"/>
      <c r="K11" s="2"/>
    </row>
    <row r="12" spans="10:11" x14ac:dyDescent="0.25">
      <c r="J12" s="2"/>
      <c r="K12" s="2"/>
    </row>
    <row r="13" spans="10:11" x14ac:dyDescent="0.25">
      <c r="J13" s="2"/>
      <c r="K13" s="2"/>
    </row>
    <row r="14" spans="10:11" x14ac:dyDescent="0.25">
      <c r="J14" s="2"/>
      <c r="K14" s="2"/>
    </row>
    <row r="15" spans="10:11" x14ac:dyDescent="0.25">
      <c r="J15" s="2"/>
      <c r="K15" s="2"/>
    </row>
    <row r="16" spans="10:11" x14ac:dyDescent="0.25">
      <c r="J16" s="2"/>
      <c r="K16" s="2"/>
    </row>
    <row r="17" spans="10:11" x14ac:dyDescent="0.25">
      <c r="J17" s="2"/>
      <c r="K17" s="2"/>
    </row>
    <row r="18" spans="10:11" x14ac:dyDescent="0.25">
      <c r="J18" s="2"/>
      <c r="K18" s="2"/>
    </row>
    <row r="19" spans="10:11" x14ac:dyDescent="0.25">
      <c r="J19" s="2"/>
      <c r="K19" s="2"/>
    </row>
    <row r="20" spans="10:11" x14ac:dyDescent="0.25">
      <c r="J20" s="2"/>
      <c r="K20" s="2"/>
    </row>
    <row r="21" spans="10:11" x14ac:dyDescent="0.25">
      <c r="J21" s="2"/>
      <c r="K21" s="2"/>
    </row>
    <row r="22" spans="10:11" x14ac:dyDescent="0.25">
      <c r="J22" s="2"/>
      <c r="K22" s="2"/>
    </row>
    <row r="23" spans="10:11" x14ac:dyDescent="0.25">
      <c r="J23" s="2"/>
      <c r="K23" s="2"/>
    </row>
    <row r="24" spans="10:11" x14ac:dyDescent="0.25">
      <c r="J24" s="2"/>
      <c r="K24" s="2"/>
    </row>
    <row r="25" spans="10:11" x14ac:dyDescent="0.25">
      <c r="J25" s="2"/>
      <c r="K25" s="2"/>
    </row>
    <row r="26" spans="10:11" x14ac:dyDescent="0.25">
      <c r="J26" s="2"/>
      <c r="K26" s="2"/>
    </row>
    <row r="27" spans="10:11" x14ac:dyDescent="0.25">
      <c r="J27" s="2"/>
      <c r="K27" s="2"/>
    </row>
    <row r="28" spans="10:11" x14ac:dyDescent="0.25">
      <c r="J28" s="2"/>
      <c r="K28" s="2"/>
    </row>
    <row r="29" spans="10:11" x14ac:dyDescent="0.25">
      <c r="J29" s="2"/>
      <c r="K29" s="2"/>
    </row>
    <row r="30" spans="10:11" x14ac:dyDescent="0.25">
      <c r="J30" s="2"/>
      <c r="K30" s="2"/>
    </row>
    <row r="31" spans="10:11" x14ac:dyDescent="0.25">
      <c r="J31" s="2"/>
      <c r="K31" s="2"/>
    </row>
    <row r="32" spans="10:11" x14ac:dyDescent="0.25">
      <c r="J32" s="2"/>
      <c r="K32" s="2"/>
    </row>
    <row r="33" spans="10:11" x14ac:dyDescent="0.25">
      <c r="J33" s="2"/>
      <c r="K33" s="2"/>
    </row>
    <row r="34" spans="10:11" x14ac:dyDescent="0.25">
      <c r="J34" s="2"/>
      <c r="K34" s="2"/>
    </row>
    <row r="35" spans="10:11" x14ac:dyDescent="0.25">
      <c r="J35" s="2"/>
      <c r="K35" s="2"/>
    </row>
    <row r="36" spans="10:11" x14ac:dyDescent="0.25">
      <c r="J36" s="2"/>
      <c r="K36" s="2"/>
    </row>
    <row r="37" spans="10:11" x14ac:dyDescent="0.25">
      <c r="J37" s="2"/>
      <c r="K37" s="2"/>
    </row>
    <row r="38" spans="10:11" x14ac:dyDescent="0.25">
      <c r="J38" s="2"/>
      <c r="K38" s="2"/>
    </row>
    <row r="39" spans="10:11" x14ac:dyDescent="0.25">
      <c r="J39" s="2"/>
      <c r="K39" s="2"/>
    </row>
    <row r="40" spans="10:11" x14ac:dyDescent="0.25">
      <c r="J40" s="2"/>
      <c r="K40" s="2"/>
    </row>
    <row r="41" spans="10:11" x14ac:dyDescent="0.25">
      <c r="J41" s="2"/>
      <c r="K41" s="2"/>
    </row>
    <row r="42" spans="10:11" x14ac:dyDescent="0.25">
      <c r="J42" s="2"/>
      <c r="K42" s="2"/>
    </row>
    <row r="43" spans="10:11" x14ac:dyDescent="0.25">
      <c r="J43" s="2"/>
      <c r="K43" s="2"/>
    </row>
    <row r="44" spans="10:11" x14ac:dyDescent="0.25">
      <c r="J44" s="2"/>
      <c r="K44" s="2"/>
    </row>
    <row r="45" spans="10:11" x14ac:dyDescent="0.25">
      <c r="J45" s="2"/>
      <c r="K45" s="2"/>
    </row>
    <row r="46" spans="10:11" x14ac:dyDescent="0.25">
      <c r="J46" s="2"/>
      <c r="K46" s="2"/>
    </row>
    <row r="47" spans="10:11" x14ac:dyDescent="0.25">
      <c r="J47" s="2"/>
      <c r="K47" s="2"/>
    </row>
    <row r="48" spans="10:11" x14ac:dyDescent="0.25">
      <c r="J48" s="2"/>
      <c r="K48" s="2"/>
    </row>
    <row r="49" spans="10:12" x14ac:dyDescent="0.25">
      <c r="J49" s="2"/>
      <c r="K49" s="2"/>
    </row>
    <row r="50" spans="10:12" x14ac:dyDescent="0.25">
      <c r="J50" s="2"/>
      <c r="K50" s="2"/>
    </row>
    <row r="51" spans="10:12" x14ac:dyDescent="0.25">
      <c r="J51" s="2"/>
      <c r="K51" s="2"/>
    </row>
    <row r="52" spans="10:12" x14ac:dyDescent="0.25">
      <c r="J52" s="2"/>
      <c r="K52" s="2"/>
    </row>
    <row r="53" spans="10:12" x14ac:dyDescent="0.25">
      <c r="J53" s="2"/>
      <c r="K53" s="2"/>
    </row>
    <row r="54" spans="10:12" x14ac:dyDescent="0.25">
      <c r="J54" s="2"/>
      <c r="K54" s="2"/>
      <c r="L54" s="4"/>
    </row>
    <row r="55" spans="10:12" x14ac:dyDescent="0.25">
      <c r="J55" s="2"/>
      <c r="K55" s="2"/>
      <c r="L55" s="4"/>
    </row>
  </sheetData>
  <pageMargins left="0.511811024" right="0.511811024" top="0.78740157499999996" bottom="0.78740157499999996" header="0.31496062000000002" footer="0.31496062000000002"/>
  <headerFooter>
    <oddFooter>&amp;R_x000D_&amp;1#&amp;"Aptos"&amp;10&amp;K000000 # Conteúdo protegido, não compartilhar sem autorização.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11FF-9C23-4105-8D6D-03BF2EF6E132}">
  <dimension ref="A1:Z139"/>
  <sheetViews>
    <sheetView workbookViewId="0">
      <selection activeCell="E2" sqref="E2"/>
    </sheetView>
  </sheetViews>
  <sheetFormatPr defaultRowHeight="15" x14ac:dyDescent="0.25"/>
  <cols>
    <col min="1" max="1" width="14.140625" customWidth="1"/>
    <col min="2" max="2" width="17.85546875" customWidth="1"/>
    <col min="3" max="3" width="10.28515625" customWidth="1"/>
    <col min="5" max="5" width="23.5703125" style="5" customWidth="1"/>
    <col min="6" max="6" width="29.7109375" customWidth="1"/>
    <col min="7" max="7" width="26.7109375" customWidth="1"/>
    <col min="8" max="8" width="25.5703125" bestFit="1" customWidth="1"/>
    <col min="9" max="9" width="19.7109375" bestFit="1" customWidth="1"/>
    <col min="10" max="10" width="14.7109375" customWidth="1"/>
    <col min="11" max="11" width="14.28515625" bestFit="1" customWidth="1"/>
    <col min="15" max="15" width="22.5703125" bestFit="1" customWidth="1"/>
    <col min="16" max="16" width="20.140625" bestFit="1" customWidth="1"/>
    <col min="17" max="21" width="13.28515625" bestFit="1" customWidth="1"/>
    <col min="22" max="23" width="12" bestFit="1" customWidth="1"/>
    <col min="24" max="25" width="13.28515625" bestFit="1" customWidth="1"/>
  </cols>
  <sheetData>
    <row r="1" spans="1:26" x14ac:dyDescent="0.25">
      <c r="A1" t="s">
        <v>0</v>
      </c>
      <c r="B1" t="s">
        <v>27</v>
      </c>
      <c r="C1" t="s">
        <v>1</v>
      </c>
      <c r="D1" t="s">
        <v>2</v>
      </c>
      <c r="E1" s="5" t="s">
        <v>31</v>
      </c>
      <c r="F1" t="s">
        <v>33</v>
      </c>
      <c r="G1" t="s">
        <v>32</v>
      </c>
      <c r="H1" t="s">
        <v>26</v>
      </c>
      <c r="I1" t="s">
        <v>39</v>
      </c>
      <c r="J1" t="s">
        <v>40</v>
      </c>
      <c r="K1" t="s">
        <v>41</v>
      </c>
    </row>
    <row r="2" spans="1:26" x14ac:dyDescent="0.25">
      <c r="A2" t="s">
        <v>3</v>
      </c>
      <c r="B2" t="s">
        <v>28</v>
      </c>
      <c r="C2">
        <v>2025</v>
      </c>
      <c r="D2">
        <v>1</v>
      </c>
      <c r="E2" s="5">
        <v>696.70520791414151</v>
      </c>
      <c r="F2">
        <v>304</v>
      </c>
      <c r="G2">
        <v>165</v>
      </c>
      <c r="H2" s="1">
        <v>0</v>
      </c>
      <c r="I2" t="str">
        <f>IF(D2&lt;=3, "Antes da campanha", "Depois da campanha")</f>
        <v>Antes da campanha</v>
      </c>
      <c r="J2" s="8">
        <f>E2*F2</f>
        <v>211798.38320589901</v>
      </c>
      <c r="K2" s="8">
        <f>(F2-G2)*E2</f>
        <v>96842.023900065673</v>
      </c>
    </row>
    <row r="3" spans="1:26" x14ac:dyDescent="0.25">
      <c r="A3" t="s">
        <v>4</v>
      </c>
      <c r="B3" t="s">
        <v>29</v>
      </c>
      <c r="C3">
        <v>2025</v>
      </c>
      <c r="D3">
        <v>1</v>
      </c>
      <c r="E3" s="5">
        <v>763.28869103847137</v>
      </c>
      <c r="F3">
        <v>268</v>
      </c>
      <c r="G3">
        <v>163</v>
      </c>
      <c r="H3" s="1">
        <v>0</v>
      </c>
      <c r="I3" t="str">
        <f t="shared" ref="I3:I66" si="0">IF(D3&lt;=3, "Antes da campanha", "Depois da campanha")</f>
        <v>Antes da campanha</v>
      </c>
      <c r="J3" s="8">
        <f t="shared" ref="J3:J66" si="1">E3*F3</f>
        <v>204561.36919831033</v>
      </c>
      <c r="K3" s="8">
        <f t="shared" ref="K3:K66" si="2">(F3-G3)*E3</f>
        <v>80145.312559039492</v>
      </c>
    </row>
    <row r="4" spans="1:26" x14ac:dyDescent="0.25">
      <c r="A4" t="s">
        <v>5</v>
      </c>
      <c r="B4" t="s">
        <v>30</v>
      </c>
      <c r="C4">
        <v>2025</v>
      </c>
      <c r="D4">
        <v>1</v>
      </c>
      <c r="E4" s="5">
        <v>543.035951306372</v>
      </c>
      <c r="F4">
        <v>322</v>
      </c>
      <c r="G4">
        <v>193</v>
      </c>
      <c r="H4" s="1">
        <v>0</v>
      </c>
      <c r="I4" t="str">
        <f t="shared" si="0"/>
        <v>Antes da campanha</v>
      </c>
      <c r="J4" s="8">
        <f t="shared" si="1"/>
        <v>174857.57632065177</v>
      </c>
      <c r="K4" s="8">
        <f t="shared" si="2"/>
        <v>70051.63771852199</v>
      </c>
    </row>
    <row r="5" spans="1:26" x14ac:dyDescent="0.25">
      <c r="A5" t="s">
        <v>6</v>
      </c>
      <c r="B5" t="s">
        <v>28</v>
      </c>
      <c r="C5">
        <v>2025</v>
      </c>
      <c r="D5">
        <v>1</v>
      </c>
      <c r="E5" s="5">
        <v>655.67863884524695</v>
      </c>
      <c r="F5">
        <v>250</v>
      </c>
      <c r="G5">
        <v>171</v>
      </c>
      <c r="H5" s="1">
        <v>0</v>
      </c>
      <c r="I5" t="str">
        <f t="shared" si="0"/>
        <v>Antes da campanha</v>
      </c>
      <c r="J5" s="8">
        <f t="shared" si="1"/>
        <v>163919.65971131175</v>
      </c>
      <c r="K5" s="8">
        <f t="shared" si="2"/>
        <v>51798.61246877451</v>
      </c>
    </row>
    <row r="6" spans="1:26" x14ac:dyDescent="0.25">
      <c r="A6" t="s">
        <v>7</v>
      </c>
      <c r="B6" t="s">
        <v>29</v>
      </c>
      <c r="C6">
        <v>2025</v>
      </c>
      <c r="D6">
        <v>1</v>
      </c>
      <c r="E6" s="5">
        <v>700.63853776172346</v>
      </c>
      <c r="F6">
        <v>321</v>
      </c>
      <c r="G6">
        <v>192</v>
      </c>
      <c r="H6" s="1">
        <v>0</v>
      </c>
      <c r="I6" t="str">
        <f t="shared" si="0"/>
        <v>Antes da campanha</v>
      </c>
      <c r="J6" s="8">
        <f t="shared" si="1"/>
        <v>224904.97062151323</v>
      </c>
      <c r="K6" s="8">
        <f t="shared" si="2"/>
        <v>90382.371371262328</v>
      </c>
    </row>
    <row r="7" spans="1:26" x14ac:dyDescent="0.25">
      <c r="A7" t="s">
        <v>8</v>
      </c>
      <c r="B7" t="s">
        <v>30</v>
      </c>
      <c r="C7">
        <v>2025</v>
      </c>
      <c r="D7">
        <v>1</v>
      </c>
      <c r="E7" s="5">
        <v>439.9354982057352</v>
      </c>
      <c r="F7">
        <v>324</v>
      </c>
      <c r="G7">
        <v>196</v>
      </c>
      <c r="H7" s="1">
        <v>0</v>
      </c>
      <c r="I7" t="str">
        <f t="shared" si="0"/>
        <v>Antes da campanha</v>
      </c>
      <c r="J7" s="8">
        <f t="shared" si="1"/>
        <v>142539.10141865822</v>
      </c>
      <c r="K7" s="8">
        <f t="shared" si="2"/>
        <v>56311.743770334106</v>
      </c>
    </row>
    <row r="8" spans="1:26" x14ac:dyDescent="0.25">
      <c r="A8" t="s">
        <v>9</v>
      </c>
      <c r="B8" t="s">
        <v>28</v>
      </c>
      <c r="C8">
        <v>2025</v>
      </c>
      <c r="D8">
        <v>1</v>
      </c>
      <c r="E8" s="5">
        <v>235.69758313405376</v>
      </c>
      <c r="F8">
        <v>322</v>
      </c>
      <c r="G8">
        <v>174</v>
      </c>
      <c r="H8" s="1">
        <v>0</v>
      </c>
      <c r="I8" t="str">
        <f t="shared" si="0"/>
        <v>Antes da campanha</v>
      </c>
      <c r="J8" s="8">
        <f t="shared" si="1"/>
        <v>75894.621769165315</v>
      </c>
      <c r="K8" s="8">
        <f t="shared" si="2"/>
        <v>34883.242303839957</v>
      </c>
      <c r="X8" s="2"/>
      <c r="Y8" s="2"/>
      <c r="Z8" s="4"/>
    </row>
    <row r="9" spans="1:26" x14ac:dyDescent="0.25">
      <c r="A9" t="s">
        <v>10</v>
      </c>
      <c r="B9" t="s">
        <v>29</v>
      </c>
      <c r="C9">
        <v>2025</v>
      </c>
      <c r="D9">
        <v>1</v>
      </c>
      <c r="E9" s="5">
        <v>191.38158519069225</v>
      </c>
      <c r="F9">
        <v>339</v>
      </c>
      <c r="G9">
        <v>200</v>
      </c>
      <c r="H9" s="1">
        <v>0</v>
      </c>
      <c r="I9" t="str">
        <f t="shared" si="0"/>
        <v>Antes da campanha</v>
      </c>
      <c r="J9" s="8">
        <f t="shared" si="1"/>
        <v>64878.357379644673</v>
      </c>
      <c r="K9" s="8">
        <f t="shared" si="2"/>
        <v>26602.040341506221</v>
      </c>
      <c r="X9" s="2"/>
      <c r="Y9" s="2"/>
      <c r="Z9" s="4"/>
    </row>
    <row r="10" spans="1:26" x14ac:dyDescent="0.25">
      <c r="A10" t="s">
        <v>11</v>
      </c>
      <c r="B10" t="s">
        <v>30</v>
      </c>
      <c r="C10">
        <v>2025</v>
      </c>
      <c r="D10">
        <v>1</v>
      </c>
      <c r="E10" s="5">
        <v>167.85621919701742</v>
      </c>
      <c r="F10">
        <v>389</v>
      </c>
      <c r="G10">
        <v>149</v>
      </c>
      <c r="H10" s="1">
        <v>0</v>
      </c>
      <c r="I10" t="str">
        <f t="shared" si="0"/>
        <v>Antes da campanha</v>
      </c>
      <c r="J10" s="8">
        <f t="shared" si="1"/>
        <v>65296.069267639781</v>
      </c>
      <c r="K10" s="8">
        <f t="shared" si="2"/>
        <v>40285.492607284184</v>
      </c>
      <c r="X10" s="2"/>
      <c r="Y10" s="2"/>
      <c r="Z10" s="4"/>
    </row>
    <row r="11" spans="1:26" x14ac:dyDescent="0.25">
      <c r="A11" t="s">
        <v>12</v>
      </c>
      <c r="B11" t="s">
        <v>28</v>
      </c>
      <c r="C11">
        <v>2025</v>
      </c>
      <c r="D11">
        <v>1</v>
      </c>
      <c r="E11" s="5">
        <v>261.6041858596426</v>
      </c>
      <c r="F11">
        <v>280</v>
      </c>
      <c r="G11">
        <v>124</v>
      </c>
      <c r="H11" s="1">
        <v>0</v>
      </c>
      <c r="I11" t="str">
        <f t="shared" si="0"/>
        <v>Antes da campanha</v>
      </c>
      <c r="J11" s="8">
        <f t="shared" si="1"/>
        <v>73249.172040699923</v>
      </c>
      <c r="K11" s="8">
        <f t="shared" si="2"/>
        <v>40810.252994104245</v>
      </c>
    </row>
    <row r="12" spans="1:26" x14ac:dyDescent="0.25">
      <c r="A12" t="s">
        <v>13</v>
      </c>
      <c r="B12" t="s">
        <v>29</v>
      </c>
      <c r="C12">
        <v>2025</v>
      </c>
      <c r="D12">
        <v>1</v>
      </c>
      <c r="E12" s="5">
        <v>102.41949515252402</v>
      </c>
      <c r="F12">
        <v>339</v>
      </c>
      <c r="G12">
        <v>155</v>
      </c>
      <c r="H12" s="1">
        <v>0</v>
      </c>
      <c r="I12" t="str">
        <f t="shared" si="0"/>
        <v>Antes da campanha</v>
      </c>
      <c r="J12" s="8">
        <f t="shared" si="1"/>
        <v>34720.208856705642</v>
      </c>
      <c r="K12" s="8">
        <f t="shared" si="2"/>
        <v>18845.18710806442</v>
      </c>
    </row>
    <row r="13" spans="1:26" x14ac:dyDescent="0.25">
      <c r="A13" t="s">
        <v>14</v>
      </c>
      <c r="B13" t="s">
        <v>30</v>
      </c>
      <c r="C13">
        <v>2025</v>
      </c>
      <c r="D13">
        <v>1</v>
      </c>
      <c r="E13" s="5">
        <v>414.30139636378806</v>
      </c>
      <c r="F13">
        <v>379</v>
      </c>
      <c r="G13">
        <v>165</v>
      </c>
      <c r="H13" s="1">
        <v>0</v>
      </c>
      <c r="I13" t="str">
        <f t="shared" si="0"/>
        <v>Antes da campanha</v>
      </c>
      <c r="J13" s="8">
        <f t="shared" si="1"/>
        <v>157020.22922187566</v>
      </c>
      <c r="K13" s="8">
        <f t="shared" si="2"/>
        <v>88660.498821850648</v>
      </c>
    </row>
    <row r="14" spans="1:26" x14ac:dyDescent="0.25">
      <c r="A14" t="s">
        <v>15</v>
      </c>
      <c r="B14" t="s">
        <v>28</v>
      </c>
      <c r="C14">
        <v>2025</v>
      </c>
      <c r="D14">
        <v>1</v>
      </c>
      <c r="E14" s="5">
        <v>625.70595039035595</v>
      </c>
      <c r="F14">
        <v>276</v>
      </c>
      <c r="G14">
        <v>195</v>
      </c>
      <c r="H14" s="1">
        <v>0</v>
      </c>
      <c r="I14" t="str">
        <f t="shared" si="0"/>
        <v>Antes da campanha</v>
      </c>
      <c r="J14" s="8">
        <f t="shared" si="1"/>
        <v>172694.84230773823</v>
      </c>
      <c r="K14" s="8">
        <f t="shared" si="2"/>
        <v>50682.181981618829</v>
      </c>
    </row>
    <row r="15" spans="1:26" x14ac:dyDescent="0.25">
      <c r="A15" t="s">
        <v>16</v>
      </c>
      <c r="B15" t="s">
        <v>29</v>
      </c>
      <c r="C15">
        <v>2025</v>
      </c>
      <c r="D15">
        <v>1</v>
      </c>
      <c r="E15" s="5">
        <v>108.75498748847289</v>
      </c>
      <c r="F15">
        <v>271</v>
      </c>
      <c r="G15">
        <v>152</v>
      </c>
      <c r="H15" s="1">
        <v>0</v>
      </c>
      <c r="I15" t="str">
        <f t="shared" si="0"/>
        <v>Antes da campanha</v>
      </c>
      <c r="J15" s="8">
        <f t="shared" si="1"/>
        <v>29472.601609376154</v>
      </c>
      <c r="K15" s="8">
        <f t="shared" si="2"/>
        <v>12941.843511128274</v>
      </c>
      <c r="X15" s="2"/>
      <c r="Y15" s="2"/>
      <c r="Z15" s="4"/>
    </row>
    <row r="16" spans="1:26" x14ac:dyDescent="0.25">
      <c r="A16" t="s">
        <v>17</v>
      </c>
      <c r="B16" t="s">
        <v>30</v>
      </c>
      <c r="C16">
        <v>2025</v>
      </c>
      <c r="D16">
        <v>1</v>
      </c>
      <c r="E16" s="5">
        <v>922.74187393740181</v>
      </c>
      <c r="F16">
        <v>381</v>
      </c>
      <c r="G16">
        <v>179</v>
      </c>
      <c r="H16" s="1">
        <v>0</v>
      </c>
      <c r="I16" t="str">
        <f t="shared" si="0"/>
        <v>Antes da campanha</v>
      </c>
      <c r="J16" s="8">
        <f t="shared" si="1"/>
        <v>351564.6539701501</v>
      </c>
      <c r="K16" s="8">
        <f t="shared" si="2"/>
        <v>186393.85853535516</v>
      </c>
      <c r="X16" s="2"/>
      <c r="Y16" s="2"/>
      <c r="Z16" s="4"/>
    </row>
    <row r="17" spans="1:21" x14ac:dyDescent="0.25">
      <c r="A17" t="s">
        <v>18</v>
      </c>
      <c r="B17" t="s">
        <v>28</v>
      </c>
      <c r="C17">
        <v>2025</v>
      </c>
      <c r="D17">
        <v>1</v>
      </c>
      <c r="E17" s="5">
        <v>84.972839213675826</v>
      </c>
      <c r="F17">
        <v>300</v>
      </c>
      <c r="G17">
        <v>155</v>
      </c>
      <c r="H17" s="1">
        <v>0</v>
      </c>
      <c r="I17" t="str">
        <f t="shared" si="0"/>
        <v>Antes da campanha</v>
      </c>
      <c r="J17" s="8">
        <f t="shared" si="1"/>
        <v>25491.851764102747</v>
      </c>
      <c r="K17" s="8">
        <f t="shared" si="2"/>
        <v>12321.061685982995</v>
      </c>
      <c r="S17" s="3"/>
      <c r="T17" s="3"/>
      <c r="U17" s="3"/>
    </row>
    <row r="18" spans="1:21" x14ac:dyDescent="0.25">
      <c r="A18" t="s">
        <v>19</v>
      </c>
      <c r="B18" t="s">
        <v>29</v>
      </c>
      <c r="C18">
        <v>2025</v>
      </c>
      <c r="D18">
        <v>1</v>
      </c>
      <c r="E18" s="5">
        <v>792.15068160710564</v>
      </c>
      <c r="F18">
        <v>323</v>
      </c>
      <c r="G18">
        <v>151</v>
      </c>
      <c r="H18" s="1">
        <v>0</v>
      </c>
      <c r="I18" t="str">
        <f t="shared" si="0"/>
        <v>Antes da campanha</v>
      </c>
      <c r="J18" s="8">
        <f t="shared" si="1"/>
        <v>255864.67015909511</v>
      </c>
      <c r="K18" s="8">
        <f t="shared" si="2"/>
        <v>136249.91723642216</v>
      </c>
    </row>
    <row r="19" spans="1:21" x14ac:dyDescent="0.25">
      <c r="A19" t="s">
        <v>20</v>
      </c>
      <c r="B19" t="s">
        <v>30</v>
      </c>
      <c r="C19">
        <v>2025</v>
      </c>
      <c r="D19">
        <v>1</v>
      </c>
      <c r="E19" s="5">
        <v>825.93778498871677</v>
      </c>
      <c r="F19">
        <v>348</v>
      </c>
      <c r="G19">
        <v>163</v>
      </c>
      <c r="H19" s="1">
        <v>0</v>
      </c>
      <c r="I19" t="str">
        <f t="shared" si="0"/>
        <v>Antes da campanha</v>
      </c>
      <c r="J19" s="8">
        <f t="shared" si="1"/>
        <v>287426.34917607345</v>
      </c>
      <c r="K19" s="8">
        <f t="shared" si="2"/>
        <v>152798.4902229126</v>
      </c>
    </row>
    <row r="20" spans="1:21" x14ac:dyDescent="0.25">
      <c r="A20" t="s">
        <v>21</v>
      </c>
      <c r="B20" t="s">
        <v>28</v>
      </c>
      <c r="C20">
        <v>2025</v>
      </c>
      <c r="D20">
        <v>1</v>
      </c>
      <c r="E20" s="5">
        <v>502.53821912246332</v>
      </c>
      <c r="F20">
        <v>392</v>
      </c>
      <c r="G20">
        <v>112</v>
      </c>
      <c r="H20" s="1">
        <v>0</v>
      </c>
      <c r="I20" t="str">
        <f t="shared" si="0"/>
        <v>Antes da campanha</v>
      </c>
      <c r="J20" s="8">
        <f t="shared" si="1"/>
        <v>196994.98189600563</v>
      </c>
      <c r="K20" s="8">
        <f t="shared" si="2"/>
        <v>140710.70135428972</v>
      </c>
    </row>
    <row r="21" spans="1:21" x14ac:dyDescent="0.25">
      <c r="A21" t="s">
        <v>22</v>
      </c>
      <c r="B21" t="s">
        <v>29</v>
      </c>
      <c r="C21">
        <v>2025</v>
      </c>
      <c r="D21">
        <v>1</v>
      </c>
      <c r="E21" s="5">
        <v>375.40649392020873</v>
      </c>
      <c r="F21">
        <v>320</v>
      </c>
      <c r="G21">
        <v>161</v>
      </c>
      <c r="H21" s="1">
        <v>0</v>
      </c>
      <c r="I21" t="str">
        <f t="shared" si="0"/>
        <v>Antes da campanha</v>
      </c>
      <c r="J21" s="8">
        <f t="shared" si="1"/>
        <v>120130.07805446679</v>
      </c>
      <c r="K21" s="8">
        <f t="shared" si="2"/>
        <v>59689.63253331319</v>
      </c>
    </row>
    <row r="22" spans="1:21" x14ac:dyDescent="0.25">
      <c r="A22" t="s">
        <v>23</v>
      </c>
      <c r="B22" t="s">
        <v>30</v>
      </c>
      <c r="C22">
        <v>2025</v>
      </c>
      <c r="D22">
        <v>1</v>
      </c>
      <c r="E22" s="5">
        <v>275.20601461671055</v>
      </c>
      <c r="F22">
        <v>362</v>
      </c>
      <c r="G22">
        <v>146</v>
      </c>
      <c r="H22" s="1">
        <v>0</v>
      </c>
      <c r="I22" t="str">
        <f t="shared" si="0"/>
        <v>Antes da campanha</v>
      </c>
      <c r="J22" s="8">
        <f t="shared" si="1"/>
        <v>99624.577291249225</v>
      </c>
      <c r="K22" s="8">
        <f t="shared" si="2"/>
        <v>59444.49915720948</v>
      </c>
    </row>
    <row r="23" spans="1:21" x14ac:dyDescent="0.25">
      <c r="A23" t="s">
        <v>24</v>
      </c>
      <c r="B23" t="s">
        <v>28</v>
      </c>
      <c r="C23">
        <v>2025</v>
      </c>
      <c r="D23">
        <v>1</v>
      </c>
      <c r="E23" s="5">
        <v>248.47912947739869</v>
      </c>
      <c r="F23">
        <v>316</v>
      </c>
      <c r="G23">
        <v>182</v>
      </c>
      <c r="H23" s="1">
        <v>0</v>
      </c>
      <c r="I23" t="str">
        <f t="shared" si="0"/>
        <v>Antes da campanha</v>
      </c>
      <c r="J23" s="8">
        <f t="shared" si="1"/>
        <v>78519.40491485798</v>
      </c>
      <c r="K23" s="8">
        <f t="shared" si="2"/>
        <v>33296.203349971423</v>
      </c>
    </row>
    <row r="24" spans="1:21" x14ac:dyDescent="0.25">
      <c r="A24" t="s">
        <v>25</v>
      </c>
      <c r="B24" t="s">
        <v>29</v>
      </c>
      <c r="C24">
        <v>2025</v>
      </c>
      <c r="D24">
        <v>1</v>
      </c>
      <c r="E24" s="5">
        <v>390.64449494352317</v>
      </c>
      <c r="F24">
        <v>293</v>
      </c>
      <c r="G24">
        <v>161</v>
      </c>
      <c r="H24" s="1">
        <v>0</v>
      </c>
      <c r="I24" t="str">
        <f t="shared" si="0"/>
        <v>Antes da campanha</v>
      </c>
      <c r="J24" s="8">
        <f t="shared" si="1"/>
        <v>114458.83701845229</v>
      </c>
      <c r="K24" s="8">
        <f t="shared" si="2"/>
        <v>51565.073332545056</v>
      </c>
    </row>
    <row r="25" spans="1:21" x14ac:dyDescent="0.25">
      <c r="A25" t="str">
        <f>A2</f>
        <v>A</v>
      </c>
      <c r="B25" t="s">
        <v>28</v>
      </c>
      <c r="C25">
        <v>2025</v>
      </c>
      <c r="D25">
        <f>D2+1</f>
        <v>2</v>
      </c>
      <c r="E25" s="5">
        <v>787.27688494297979</v>
      </c>
      <c r="F25">
        <f>F2</f>
        <v>304</v>
      </c>
      <c r="G25">
        <f>G2</f>
        <v>165</v>
      </c>
      <c r="H25" s="1">
        <v>0</v>
      </c>
      <c r="I25" t="str">
        <f t="shared" si="0"/>
        <v>Antes da campanha</v>
      </c>
      <c r="J25" s="8">
        <f t="shared" si="1"/>
        <v>239332.17302266587</v>
      </c>
      <c r="K25" s="8">
        <f t="shared" si="2"/>
        <v>109431.48700707419</v>
      </c>
    </row>
    <row r="26" spans="1:21" x14ac:dyDescent="0.25">
      <c r="A26" t="str">
        <f t="shared" ref="A26:A89" si="3">A3</f>
        <v>B</v>
      </c>
      <c r="B26" t="s">
        <v>29</v>
      </c>
      <c r="C26">
        <v>2025</v>
      </c>
      <c r="D26">
        <f t="shared" ref="D26:D89" si="4">D3+1</f>
        <v>2</v>
      </c>
      <c r="E26" s="5">
        <v>686.9598219346243</v>
      </c>
      <c r="F26">
        <f t="shared" ref="F26:G41" si="5">F3</f>
        <v>268</v>
      </c>
      <c r="G26">
        <f t="shared" si="5"/>
        <v>163</v>
      </c>
      <c r="H26" s="1">
        <v>0</v>
      </c>
      <c r="I26" t="str">
        <f t="shared" si="0"/>
        <v>Antes da campanha</v>
      </c>
      <c r="J26" s="8">
        <f t="shared" si="1"/>
        <v>184105.23227847932</v>
      </c>
      <c r="K26" s="8">
        <f t="shared" si="2"/>
        <v>72130.781303135547</v>
      </c>
    </row>
    <row r="27" spans="1:21" x14ac:dyDescent="0.25">
      <c r="A27" t="str">
        <f t="shared" si="3"/>
        <v>C</v>
      </c>
      <c r="B27" t="s">
        <v>30</v>
      </c>
      <c r="C27">
        <v>2025</v>
      </c>
      <c r="D27">
        <f t="shared" si="4"/>
        <v>2</v>
      </c>
      <c r="E27" s="5">
        <v>619.060984489264</v>
      </c>
      <c r="F27">
        <f t="shared" si="5"/>
        <v>322</v>
      </c>
      <c r="G27">
        <f t="shared" si="5"/>
        <v>193</v>
      </c>
      <c r="H27" s="1">
        <v>0</v>
      </c>
      <c r="I27" t="str">
        <f t="shared" si="0"/>
        <v>Antes da campanha</v>
      </c>
      <c r="J27" s="8">
        <f t="shared" si="1"/>
        <v>199337.63700554302</v>
      </c>
      <c r="K27" s="8">
        <f t="shared" si="2"/>
        <v>79858.866999115053</v>
      </c>
    </row>
    <row r="28" spans="1:21" x14ac:dyDescent="0.25">
      <c r="A28" t="str">
        <f t="shared" si="3"/>
        <v>D</v>
      </c>
      <c r="B28" t="s">
        <v>28</v>
      </c>
      <c r="C28">
        <v>2025</v>
      </c>
      <c r="D28">
        <f t="shared" si="4"/>
        <v>2</v>
      </c>
      <c r="E28" s="5">
        <v>675.34899801060442</v>
      </c>
      <c r="F28">
        <f t="shared" si="5"/>
        <v>250</v>
      </c>
      <c r="G28">
        <f t="shared" si="5"/>
        <v>171</v>
      </c>
      <c r="H28" s="1">
        <v>0</v>
      </c>
      <c r="I28" t="str">
        <f t="shared" si="0"/>
        <v>Antes da campanha</v>
      </c>
      <c r="J28" s="8">
        <f t="shared" si="1"/>
        <v>168837.2495026511</v>
      </c>
      <c r="K28" s="8">
        <f t="shared" si="2"/>
        <v>53352.570842837747</v>
      </c>
    </row>
    <row r="29" spans="1:21" x14ac:dyDescent="0.25">
      <c r="A29" t="str">
        <f t="shared" si="3"/>
        <v>E</v>
      </c>
      <c r="B29" t="s">
        <v>29</v>
      </c>
      <c r="C29">
        <v>2025</v>
      </c>
      <c r="D29">
        <f t="shared" si="4"/>
        <v>2</v>
      </c>
      <c r="E29" s="5">
        <v>658.60022549602002</v>
      </c>
      <c r="F29">
        <f t="shared" si="5"/>
        <v>321</v>
      </c>
      <c r="G29">
        <f t="shared" si="5"/>
        <v>192</v>
      </c>
      <c r="H29" s="1">
        <v>0</v>
      </c>
      <c r="I29" t="str">
        <f t="shared" si="0"/>
        <v>Antes da campanha</v>
      </c>
      <c r="J29" s="8">
        <f t="shared" si="1"/>
        <v>211410.67238422242</v>
      </c>
      <c r="K29" s="8">
        <f t="shared" si="2"/>
        <v>84959.429088986581</v>
      </c>
    </row>
    <row r="30" spans="1:21" x14ac:dyDescent="0.25">
      <c r="A30" t="str">
        <f t="shared" si="3"/>
        <v>F</v>
      </c>
      <c r="B30" t="s">
        <v>30</v>
      </c>
      <c r="C30">
        <v>2025</v>
      </c>
      <c r="D30">
        <f t="shared" si="4"/>
        <v>2</v>
      </c>
      <c r="E30" s="5">
        <v>444.33485318779253</v>
      </c>
      <c r="F30">
        <f t="shared" si="5"/>
        <v>324</v>
      </c>
      <c r="G30">
        <f t="shared" si="5"/>
        <v>196</v>
      </c>
      <c r="H30" s="1">
        <v>0</v>
      </c>
      <c r="I30" t="str">
        <f t="shared" si="0"/>
        <v>Antes da campanha</v>
      </c>
      <c r="J30" s="8">
        <f t="shared" si="1"/>
        <v>143964.49243284477</v>
      </c>
      <c r="K30" s="8">
        <f t="shared" si="2"/>
        <v>56874.861208037444</v>
      </c>
    </row>
    <row r="31" spans="1:21" x14ac:dyDescent="0.25">
      <c r="A31" t="str">
        <f t="shared" si="3"/>
        <v>G</v>
      </c>
      <c r="B31" t="s">
        <v>28</v>
      </c>
      <c r="C31">
        <v>2025</v>
      </c>
      <c r="D31">
        <f t="shared" si="4"/>
        <v>2</v>
      </c>
      <c r="E31" s="5">
        <v>238.05455896539431</v>
      </c>
      <c r="F31">
        <f t="shared" si="5"/>
        <v>322</v>
      </c>
      <c r="G31">
        <f t="shared" si="5"/>
        <v>174</v>
      </c>
      <c r="H31" s="1">
        <v>0</v>
      </c>
      <c r="I31" t="str">
        <f t="shared" si="0"/>
        <v>Antes da campanha</v>
      </c>
      <c r="J31" s="8">
        <f t="shared" si="1"/>
        <v>76653.567986856971</v>
      </c>
      <c r="K31" s="8">
        <f t="shared" si="2"/>
        <v>35232.07472687836</v>
      </c>
    </row>
    <row r="32" spans="1:21" x14ac:dyDescent="0.25">
      <c r="A32" t="str">
        <f t="shared" si="3"/>
        <v>H</v>
      </c>
      <c r="B32" t="s">
        <v>29</v>
      </c>
      <c r="C32">
        <v>2025</v>
      </c>
      <c r="D32">
        <f t="shared" si="4"/>
        <v>2</v>
      </c>
      <c r="E32" s="5">
        <v>174.15724252352996</v>
      </c>
      <c r="F32">
        <f t="shared" si="5"/>
        <v>339</v>
      </c>
      <c r="G32">
        <f t="shared" si="5"/>
        <v>200</v>
      </c>
      <c r="H32" s="1">
        <v>0</v>
      </c>
      <c r="I32" t="str">
        <f t="shared" si="0"/>
        <v>Antes da campanha</v>
      </c>
      <c r="J32" s="8">
        <f t="shared" si="1"/>
        <v>59039.305215476656</v>
      </c>
      <c r="K32" s="8">
        <f t="shared" si="2"/>
        <v>24207.856710770666</v>
      </c>
    </row>
    <row r="33" spans="1:11" x14ac:dyDescent="0.25">
      <c r="A33" t="str">
        <f t="shared" si="3"/>
        <v>I</v>
      </c>
      <c r="B33" t="s">
        <v>30</v>
      </c>
      <c r="C33">
        <v>2025</v>
      </c>
      <c r="D33">
        <f t="shared" si="4"/>
        <v>2</v>
      </c>
      <c r="E33" s="5">
        <v>166.17765700504725</v>
      </c>
      <c r="F33">
        <f t="shared" si="5"/>
        <v>389</v>
      </c>
      <c r="G33">
        <f t="shared" si="5"/>
        <v>149</v>
      </c>
      <c r="H33" s="1">
        <v>0</v>
      </c>
      <c r="I33" t="str">
        <f t="shared" si="0"/>
        <v>Antes da campanha</v>
      </c>
      <c r="J33" s="8">
        <f t="shared" si="1"/>
        <v>64643.108574963378</v>
      </c>
      <c r="K33" s="8">
        <f t="shared" si="2"/>
        <v>39882.637681211338</v>
      </c>
    </row>
    <row r="34" spans="1:11" x14ac:dyDescent="0.25">
      <c r="A34" t="str">
        <f t="shared" si="3"/>
        <v>J</v>
      </c>
      <c r="B34" t="s">
        <v>28</v>
      </c>
      <c r="C34">
        <v>2025</v>
      </c>
      <c r="D34">
        <f t="shared" si="4"/>
        <v>2</v>
      </c>
      <c r="E34" s="5">
        <v>266.83626957683543</v>
      </c>
      <c r="F34">
        <f t="shared" si="5"/>
        <v>280</v>
      </c>
      <c r="G34">
        <f t="shared" si="5"/>
        <v>124</v>
      </c>
      <c r="H34" s="1">
        <v>0</v>
      </c>
      <c r="I34" t="str">
        <f t="shared" si="0"/>
        <v>Antes da campanha</v>
      </c>
      <c r="J34" s="8">
        <f t="shared" si="1"/>
        <v>74714.155481513924</v>
      </c>
      <c r="K34" s="8">
        <f t="shared" si="2"/>
        <v>41626.458053986331</v>
      </c>
    </row>
    <row r="35" spans="1:11" x14ac:dyDescent="0.25">
      <c r="A35" t="str">
        <f t="shared" si="3"/>
        <v>K</v>
      </c>
      <c r="B35" t="s">
        <v>29</v>
      </c>
      <c r="C35">
        <v>2025</v>
      </c>
      <c r="D35">
        <f t="shared" si="4"/>
        <v>2</v>
      </c>
      <c r="E35" s="5">
        <v>111.63724971625119</v>
      </c>
      <c r="F35">
        <f t="shared" si="5"/>
        <v>339</v>
      </c>
      <c r="G35">
        <f t="shared" si="5"/>
        <v>155</v>
      </c>
      <c r="H35" s="1">
        <v>0</v>
      </c>
      <c r="I35" t="str">
        <f t="shared" si="0"/>
        <v>Antes da campanha</v>
      </c>
      <c r="J35" s="8">
        <f t="shared" si="1"/>
        <v>37845.027653809157</v>
      </c>
      <c r="K35" s="8">
        <f t="shared" si="2"/>
        <v>20541.253947790217</v>
      </c>
    </row>
    <row r="36" spans="1:11" x14ac:dyDescent="0.25">
      <c r="A36" t="str">
        <f t="shared" si="3"/>
        <v>L</v>
      </c>
      <c r="B36" t="s">
        <v>30</v>
      </c>
      <c r="C36">
        <v>2025</v>
      </c>
      <c r="D36">
        <f t="shared" si="4"/>
        <v>2</v>
      </c>
      <c r="E36" s="5">
        <v>410.15838240015017</v>
      </c>
      <c r="F36">
        <f t="shared" si="5"/>
        <v>379</v>
      </c>
      <c r="G36">
        <f t="shared" si="5"/>
        <v>165</v>
      </c>
      <c r="H36" s="1">
        <v>0</v>
      </c>
      <c r="I36" t="str">
        <f t="shared" si="0"/>
        <v>Antes da campanha</v>
      </c>
      <c r="J36" s="8">
        <f t="shared" si="1"/>
        <v>155450.02692965692</v>
      </c>
      <c r="K36" s="8">
        <f t="shared" si="2"/>
        <v>87773.893833632144</v>
      </c>
    </row>
    <row r="37" spans="1:11" x14ac:dyDescent="0.25">
      <c r="A37" t="str">
        <f t="shared" si="3"/>
        <v>M</v>
      </c>
      <c r="B37" t="s">
        <v>28</v>
      </c>
      <c r="C37">
        <v>2025</v>
      </c>
      <c r="D37">
        <f t="shared" si="4"/>
        <v>2</v>
      </c>
      <c r="E37" s="5">
        <v>600.67771237474165</v>
      </c>
      <c r="F37">
        <f t="shared" si="5"/>
        <v>276</v>
      </c>
      <c r="G37">
        <f t="shared" si="5"/>
        <v>195</v>
      </c>
      <c r="H37" s="1">
        <v>0</v>
      </c>
      <c r="I37" t="str">
        <f t="shared" si="0"/>
        <v>Antes da campanha</v>
      </c>
      <c r="J37" s="8">
        <f t="shared" si="1"/>
        <v>165787.04861542871</v>
      </c>
      <c r="K37" s="8">
        <f t="shared" si="2"/>
        <v>48654.894702354075</v>
      </c>
    </row>
    <row r="38" spans="1:11" x14ac:dyDescent="0.25">
      <c r="A38" t="str">
        <f t="shared" si="3"/>
        <v>N</v>
      </c>
      <c r="B38" t="s">
        <v>29</v>
      </c>
      <c r="C38">
        <v>2025</v>
      </c>
      <c r="D38">
        <f t="shared" si="4"/>
        <v>2</v>
      </c>
      <c r="E38" s="5">
        <v>96.791938864740871</v>
      </c>
      <c r="F38">
        <f t="shared" si="5"/>
        <v>271</v>
      </c>
      <c r="G38">
        <f t="shared" si="5"/>
        <v>152</v>
      </c>
      <c r="H38" s="1">
        <v>0</v>
      </c>
      <c r="I38" t="str">
        <f t="shared" si="0"/>
        <v>Antes da campanha</v>
      </c>
      <c r="J38" s="8">
        <f t="shared" si="1"/>
        <v>26230.615432344777</v>
      </c>
      <c r="K38" s="8">
        <f t="shared" si="2"/>
        <v>11518.240724904164</v>
      </c>
    </row>
    <row r="39" spans="1:11" x14ac:dyDescent="0.25">
      <c r="A39" t="str">
        <f t="shared" si="3"/>
        <v>O</v>
      </c>
      <c r="B39" t="s">
        <v>30</v>
      </c>
      <c r="C39">
        <v>2025</v>
      </c>
      <c r="D39">
        <f t="shared" si="4"/>
        <v>2</v>
      </c>
      <c r="E39" s="5">
        <v>1042.6983175492639</v>
      </c>
      <c r="F39">
        <f t="shared" si="5"/>
        <v>381</v>
      </c>
      <c r="G39">
        <f t="shared" si="5"/>
        <v>179</v>
      </c>
      <c r="H39" s="1">
        <v>0</v>
      </c>
      <c r="I39" t="str">
        <f t="shared" si="0"/>
        <v>Antes da campanha</v>
      </c>
      <c r="J39" s="8">
        <f t="shared" si="1"/>
        <v>397268.05898626958</v>
      </c>
      <c r="K39" s="8">
        <f t="shared" si="2"/>
        <v>210625.06014495131</v>
      </c>
    </row>
    <row r="40" spans="1:11" x14ac:dyDescent="0.25">
      <c r="A40" t="str">
        <f t="shared" si="3"/>
        <v>P</v>
      </c>
      <c r="B40" t="s">
        <v>28</v>
      </c>
      <c r="C40">
        <v>2025</v>
      </c>
      <c r="D40">
        <f t="shared" si="4"/>
        <v>2</v>
      </c>
      <c r="E40" s="5">
        <v>85.82256760581258</v>
      </c>
      <c r="F40">
        <f t="shared" si="5"/>
        <v>300</v>
      </c>
      <c r="G40">
        <f t="shared" si="5"/>
        <v>155</v>
      </c>
      <c r="H40" s="1">
        <v>0</v>
      </c>
      <c r="I40" t="str">
        <f t="shared" si="0"/>
        <v>Antes da campanha</v>
      </c>
      <c r="J40" s="8">
        <f t="shared" si="1"/>
        <v>25746.770281743775</v>
      </c>
      <c r="K40" s="8">
        <f t="shared" si="2"/>
        <v>12444.272302842825</v>
      </c>
    </row>
    <row r="41" spans="1:11" x14ac:dyDescent="0.25">
      <c r="A41" t="str">
        <f t="shared" si="3"/>
        <v>Q</v>
      </c>
      <c r="B41" t="s">
        <v>29</v>
      </c>
      <c r="C41">
        <v>2025</v>
      </c>
      <c r="D41">
        <f t="shared" si="4"/>
        <v>2</v>
      </c>
      <c r="E41" s="5">
        <v>744.62164071067923</v>
      </c>
      <c r="F41">
        <f t="shared" si="5"/>
        <v>323</v>
      </c>
      <c r="G41">
        <f t="shared" si="5"/>
        <v>151</v>
      </c>
      <c r="H41" s="1">
        <v>0</v>
      </c>
      <c r="I41" t="str">
        <f t="shared" si="0"/>
        <v>Antes da campanha</v>
      </c>
      <c r="J41" s="8">
        <f t="shared" si="1"/>
        <v>240512.78994954939</v>
      </c>
      <c r="K41" s="8">
        <f t="shared" si="2"/>
        <v>128074.92220223683</v>
      </c>
    </row>
    <row r="42" spans="1:11" x14ac:dyDescent="0.25">
      <c r="A42" t="str">
        <f t="shared" si="3"/>
        <v>R</v>
      </c>
      <c r="B42" t="s">
        <v>30</v>
      </c>
      <c r="C42">
        <v>2025</v>
      </c>
      <c r="D42">
        <f t="shared" si="4"/>
        <v>2</v>
      </c>
      <c r="E42" s="5">
        <v>751.60338433973232</v>
      </c>
      <c r="F42">
        <f t="shared" ref="F42:G57" si="6">F19</f>
        <v>348</v>
      </c>
      <c r="G42">
        <f t="shared" si="6"/>
        <v>163</v>
      </c>
      <c r="H42" s="1">
        <v>0</v>
      </c>
      <c r="I42" t="str">
        <f t="shared" si="0"/>
        <v>Antes da campanha</v>
      </c>
      <c r="J42" s="8">
        <f t="shared" si="1"/>
        <v>261557.97775022686</v>
      </c>
      <c r="K42" s="8">
        <f t="shared" si="2"/>
        <v>139046.62610285048</v>
      </c>
    </row>
    <row r="43" spans="1:11" x14ac:dyDescent="0.25">
      <c r="A43" t="str">
        <f t="shared" si="3"/>
        <v>S</v>
      </c>
      <c r="B43" t="s">
        <v>28</v>
      </c>
      <c r="C43">
        <v>2025</v>
      </c>
      <c r="D43">
        <f t="shared" si="4"/>
        <v>2</v>
      </c>
      <c r="E43" s="5">
        <v>557.81742322593436</v>
      </c>
      <c r="F43">
        <f t="shared" si="6"/>
        <v>392</v>
      </c>
      <c r="G43">
        <f t="shared" si="6"/>
        <v>112</v>
      </c>
      <c r="H43" s="1">
        <v>0</v>
      </c>
      <c r="I43" t="str">
        <f t="shared" si="0"/>
        <v>Antes da campanha</v>
      </c>
      <c r="J43" s="8">
        <f t="shared" si="1"/>
        <v>218664.42990456626</v>
      </c>
      <c r="K43" s="8">
        <f t="shared" si="2"/>
        <v>156188.87850326163</v>
      </c>
    </row>
    <row r="44" spans="1:11" x14ac:dyDescent="0.25">
      <c r="A44" t="str">
        <f t="shared" si="3"/>
        <v>T</v>
      </c>
      <c r="B44" t="s">
        <v>29</v>
      </c>
      <c r="C44">
        <v>2025</v>
      </c>
      <c r="D44">
        <f t="shared" si="4"/>
        <v>2</v>
      </c>
      <c r="E44" s="5">
        <v>394.17681861621918</v>
      </c>
      <c r="F44">
        <f t="shared" si="6"/>
        <v>320</v>
      </c>
      <c r="G44">
        <f t="shared" si="6"/>
        <v>161</v>
      </c>
      <c r="H44" s="1">
        <v>0</v>
      </c>
      <c r="I44" t="str">
        <f t="shared" si="0"/>
        <v>Antes da campanha</v>
      </c>
      <c r="J44" s="8">
        <f t="shared" si="1"/>
        <v>126136.58195719014</v>
      </c>
      <c r="K44" s="8">
        <f t="shared" si="2"/>
        <v>62674.114159978846</v>
      </c>
    </row>
    <row r="45" spans="1:11" x14ac:dyDescent="0.25">
      <c r="A45" t="str">
        <f t="shared" si="3"/>
        <v>U</v>
      </c>
      <c r="B45" t="s">
        <v>30</v>
      </c>
      <c r="C45">
        <v>2025</v>
      </c>
      <c r="D45">
        <f t="shared" si="4"/>
        <v>2</v>
      </c>
      <c r="E45" s="5">
        <v>283.46219505521185</v>
      </c>
      <c r="F45">
        <f t="shared" si="6"/>
        <v>362</v>
      </c>
      <c r="G45">
        <f t="shared" si="6"/>
        <v>146</v>
      </c>
      <c r="H45" s="1">
        <v>0</v>
      </c>
      <c r="I45" t="str">
        <f t="shared" si="0"/>
        <v>Antes da campanha</v>
      </c>
      <c r="J45" s="8">
        <f t="shared" si="1"/>
        <v>102613.31460998669</v>
      </c>
      <c r="K45" s="8">
        <f t="shared" si="2"/>
        <v>61227.83413192576</v>
      </c>
    </row>
    <row r="46" spans="1:11" x14ac:dyDescent="0.25">
      <c r="A46" t="str">
        <f t="shared" si="3"/>
        <v>V</v>
      </c>
      <c r="B46" t="s">
        <v>28</v>
      </c>
      <c r="C46">
        <v>2025</v>
      </c>
      <c r="D46">
        <f t="shared" si="4"/>
        <v>2</v>
      </c>
      <c r="E46" s="5">
        <v>270.84225113036462</v>
      </c>
      <c r="F46">
        <f t="shared" si="6"/>
        <v>316</v>
      </c>
      <c r="G46">
        <f t="shared" si="6"/>
        <v>182</v>
      </c>
      <c r="H46" s="1">
        <v>0</v>
      </c>
      <c r="I46" t="str">
        <f t="shared" si="0"/>
        <v>Antes da campanha</v>
      </c>
      <c r="J46" s="8">
        <f t="shared" si="1"/>
        <v>85586.151357195224</v>
      </c>
      <c r="K46" s="8">
        <f t="shared" si="2"/>
        <v>36292.861651468862</v>
      </c>
    </row>
    <row r="47" spans="1:11" x14ac:dyDescent="0.25">
      <c r="A47" t="str">
        <f t="shared" si="3"/>
        <v>X</v>
      </c>
      <c r="B47" t="s">
        <v>29</v>
      </c>
      <c r="C47">
        <v>2025</v>
      </c>
      <c r="D47">
        <f t="shared" si="4"/>
        <v>2</v>
      </c>
      <c r="E47" s="5">
        <v>347.67360049973564</v>
      </c>
      <c r="F47">
        <f t="shared" si="6"/>
        <v>293</v>
      </c>
      <c r="G47">
        <f t="shared" si="6"/>
        <v>161</v>
      </c>
      <c r="H47" s="1">
        <v>0</v>
      </c>
      <c r="I47" t="str">
        <f t="shared" si="0"/>
        <v>Antes da campanha</v>
      </c>
      <c r="J47" s="8">
        <f t="shared" si="1"/>
        <v>101868.36494642255</v>
      </c>
      <c r="K47" s="8">
        <f t="shared" si="2"/>
        <v>45892.915265965108</v>
      </c>
    </row>
    <row r="48" spans="1:11" x14ac:dyDescent="0.25">
      <c r="A48" t="str">
        <f t="shared" si="3"/>
        <v>A</v>
      </c>
      <c r="B48" t="s">
        <v>28</v>
      </c>
      <c r="C48">
        <v>2025</v>
      </c>
      <c r="D48">
        <f t="shared" si="4"/>
        <v>3</v>
      </c>
      <c r="E48" s="5">
        <v>689.73815583500004</v>
      </c>
      <c r="F48">
        <f t="shared" si="6"/>
        <v>304</v>
      </c>
      <c r="G48">
        <f t="shared" si="6"/>
        <v>165</v>
      </c>
      <c r="H48" s="1">
        <v>0</v>
      </c>
      <c r="I48" t="str">
        <f t="shared" si="0"/>
        <v>Antes da campanha</v>
      </c>
      <c r="J48" s="8">
        <f t="shared" si="1"/>
        <v>209680.39937384002</v>
      </c>
      <c r="K48" s="8">
        <f t="shared" si="2"/>
        <v>95873.603661065004</v>
      </c>
    </row>
    <row r="49" spans="1:11" x14ac:dyDescent="0.25">
      <c r="A49" t="str">
        <f t="shared" si="3"/>
        <v>B</v>
      </c>
      <c r="B49" t="s">
        <v>29</v>
      </c>
      <c r="C49">
        <v>2025</v>
      </c>
      <c r="D49">
        <f t="shared" si="4"/>
        <v>3</v>
      </c>
      <c r="E49" s="5">
        <v>755.65580412808663</v>
      </c>
      <c r="F49">
        <f t="shared" si="6"/>
        <v>268</v>
      </c>
      <c r="G49">
        <f t="shared" si="6"/>
        <v>163</v>
      </c>
      <c r="H49" s="1">
        <v>0</v>
      </c>
      <c r="I49" t="str">
        <f t="shared" si="0"/>
        <v>Antes da campanha</v>
      </c>
      <c r="J49" s="8">
        <f t="shared" si="1"/>
        <v>202515.75550632723</v>
      </c>
      <c r="K49" s="8">
        <f t="shared" si="2"/>
        <v>79343.859433449092</v>
      </c>
    </row>
    <row r="50" spans="1:11" x14ac:dyDescent="0.25">
      <c r="A50" t="str">
        <f t="shared" si="3"/>
        <v>C</v>
      </c>
      <c r="B50" t="s">
        <v>30</v>
      </c>
      <c r="C50">
        <v>2025</v>
      </c>
      <c r="D50">
        <f t="shared" si="4"/>
        <v>3</v>
      </c>
      <c r="E50" s="5">
        <v>543.035951306372</v>
      </c>
      <c r="F50">
        <f t="shared" si="6"/>
        <v>322</v>
      </c>
      <c r="G50">
        <f t="shared" si="6"/>
        <v>193</v>
      </c>
      <c r="H50" s="1">
        <v>0</v>
      </c>
      <c r="I50" t="str">
        <f t="shared" si="0"/>
        <v>Antes da campanha</v>
      </c>
      <c r="J50" s="8">
        <f t="shared" si="1"/>
        <v>174857.57632065177</v>
      </c>
      <c r="K50" s="8">
        <f t="shared" si="2"/>
        <v>70051.63771852199</v>
      </c>
    </row>
    <row r="51" spans="1:11" x14ac:dyDescent="0.25">
      <c r="A51" t="str">
        <f t="shared" si="3"/>
        <v>D</v>
      </c>
      <c r="B51" t="s">
        <v>28</v>
      </c>
      <c r="C51">
        <v>2025</v>
      </c>
      <c r="D51">
        <f t="shared" si="4"/>
        <v>3</v>
      </c>
      <c r="E51" s="5">
        <v>629.45149329143703</v>
      </c>
      <c r="F51">
        <f t="shared" si="6"/>
        <v>250</v>
      </c>
      <c r="G51">
        <f t="shared" si="6"/>
        <v>171</v>
      </c>
      <c r="H51" s="1">
        <v>0</v>
      </c>
      <c r="I51" t="str">
        <f t="shared" si="0"/>
        <v>Antes da campanha</v>
      </c>
      <c r="J51" s="8">
        <f t="shared" si="1"/>
        <v>157362.87332285926</v>
      </c>
      <c r="K51" s="8">
        <f t="shared" si="2"/>
        <v>49726.667970023525</v>
      </c>
    </row>
    <row r="52" spans="1:11" x14ac:dyDescent="0.25">
      <c r="A52" t="str">
        <f t="shared" si="3"/>
        <v>E</v>
      </c>
      <c r="B52" t="s">
        <v>29</v>
      </c>
      <c r="C52">
        <v>2025</v>
      </c>
      <c r="D52">
        <f t="shared" si="4"/>
        <v>3</v>
      </c>
      <c r="E52" s="5">
        <v>686.62576700648901</v>
      </c>
      <c r="F52">
        <f t="shared" si="6"/>
        <v>321</v>
      </c>
      <c r="G52">
        <f t="shared" si="6"/>
        <v>192</v>
      </c>
      <c r="H52" s="1">
        <v>0</v>
      </c>
      <c r="I52" t="str">
        <f t="shared" si="0"/>
        <v>Antes da campanha</v>
      </c>
      <c r="J52" s="8">
        <f t="shared" si="1"/>
        <v>220406.87120908298</v>
      </c>
      <c r="K52" s="8">
        <f t="shared" si="2"/>
        <v>88574.723943837089</v>
      </c>
    </row>
    <row r="53" spans="1:11" x14ac:dyDescent="0.25">
      <c r="A53" t="str">
        <f t="shared" si="3"/>
        <v>F</v>
      </c>
      <c r="B53" t="s">
        <v>30</v>
      </c>
      <c r="C53">
        <v>2025</v>
      </c>
      <c r="D53">
        <f t="shared" si="4"/>
        <v>3</v>
      </c>
      <c r="E53" s="5">
        <v>413.53936831339104</v>
      </c>
      <c r="F53">
        <f t="shared" si="6"/>
        <v>324</v>
      </c>
      <c r="G53">
        <f t="shared" si="6"/>
        <v>196</v>
      </c>
      <c r="H53" s="1">
        <v>0</v>
      </c>
      <c r="I53" t="str">
        <f t="shared" si="0"/>
        <v>Antes da campanha</v>
      </c>
      <c r="J53" s="8">
        <f t="shared" si="1"/>
        <v>133986.75533353869</v>
      </c>
      <c r="K53" s="8">
        <f t="shared" si="2"/>
        <v>52933.039144114053</v>
      </c>
    </row>
    <row r="54" spans="1:11" x14ac:dyDescent="0.25">
      <c r="A54" t="str">
        <f t="shared" si="3"/>
        <v>G</v>
      </c>
      <c r="B54" t="s">
        <v>28</v>
      </c>
      <c r="C54">
        <v>2025</v>
      </c>
      <c r="D54">
        <f t="shared" si="4"/>
        <v>3</v>
      </c>
      <c r="E54" s="5">
        <v>226.26967980869159</v>
      </c>
      <c r="F54">
        <f t="shared" si="6"/>
        <v>322</v>
      </c>
      <c r="G54">
        <f t="shared" si="6"/>
        <v>174</v>
      </c>
      <c r="H54" s="1">
        <v>0</v>
      </c>
      <c r="I54" t="str">
        <f t="shared" si="0"/>
        <v>Antes da campanha</v>
      </c>
      <c r="J54" s="8">
        <f t="shared" si="1"/>
        <v>72858.836898398687</v>
      </c>
      <c r="K54" s="8">
        <f t="shared" si="2"/>
        <v>33487.912611686355</v>
      </c>
    </row>
    <row r="55" spans="1:11" x14ac:dyDescent="0.25">
      <c r="A55" t="str">
        <f t="shared" si="3"/>
        <v>H</v>
      </c>
      <c r="B55" t="s">
        <v>29</v>
      </c>
      <c r="C55">
        <v>2025</v>
      </c>
      <c r="D55">
        <f t="shared" si="4"/>
        <v>3</v>
      </c>
      <c r="E55" s="5">
        <v>162.67434741208839</v>
      </c>
      <c r="F55">
        <f t="shared" si="6"/>
        <v>339</v>
      </c>
      <c r="G55">
        <f t="shared" si="6"/>
        <v>200</v>
      </c>
      <c r="H55" s="1">
        <v>0</v>
      </c>
      <c r="I55" t="str">
        <f t="shared" si="0"/>
        <v>Antes da campanha</v>
      </c>
      <c r="J55" s="8">
        <f t="shared" si="1"/>
        <v>55146.603772697963</v>
      </c>
      <c r="K55" s="8">
        <f t="shared" si="2"/>
        <v>22611.734290280288</v>
      </c>
    </row>
    <row r="56" spans="1:11" x14ac:dyDescent="0.25">
      <c r="A56" t="str">
        <f t="shared" si="3"/>
        <v>I</v>
      </c>
      <c r="B56" t="s">
        <v>30</v>
      </c>
      <c r="C56">
        <v>2025</v>
      </c>
      <c r="D56">
        <f t="shared" si="4"/>
        <v>3</v>
      </c>
      <c r="E56" s="5">
        <v>176.24903015686832</v>
      </c>
      <c r="F56">
        <f t="shared" si="6"/>
        <v>389</v>
      </c>
      <c r="G56">
        <f t="shared" si="6"/>
        <v>149</v>
      </c>
      <c r="H56" s="1">
        <v>0</v>
      </c>
      <c r="I56" t="str">
        <f t="shared" si="0"/>
        <v>Antes da campanha</v>
      </c>
      <c r="J56" s="8">
        <f t="shared" si="1"/>
        <v>68560.87273102178</v>
      </c>
      <c r="K56" s="8">
        <f t="shared" si="2"/>
        <v>42299.767237648397</v>
      </c>
    </row>
    <row r="57" spans="1:11" x14ac:dyDescent="0.25">
      <c r="A57" t="str">
        <f t="shared" si="3"/>
        <v>J</v>
      </c>
      <c r="B57" t="s">
        <v>28</v>
      </c>
      <c r="C57">
        <v>2025</v>
      </c>
      <c r="D57">
        <f t="shared" si="4"/>
        <v>3</v>
      </c>
      <c r="E57" s="5">
        <v>258.98814400104618</v>
      </c>
      <c r="F57">
        <f t="shared" si="6"/>
        <v>280</v>
      </c>
      <c r="G57">
        <f t="shared" si="6"/>
        <v>124</v>
      </c>
      <c r="H57" s="1">
        <v>0</v>
      </c>
      <c r="I57" t="str">
        <f t="shared" si="0"/>
        <v>Antes da campanha</v>
      </c>
      <c r="J57" s="8">
        <f t="shared" si="1"/>
        <v>72516.68032029293</v>
      </c>
      <c r="K57" s="8">
        <f t="shared" si="2"/>
        <v>40402.150464163205</v>
      </c>
    </row>
    <row r="58" spans="1:11" x14ac:dyDescent="0.25">
      <c r="A58" t="str">
        <f t="shared" si="3"/>
        <v>K</v>
      </c>
      <c r="B58" t="s">
        <v>29</v>
      </c>
      <c r="C58">
        <v>2025</v>
      </c>
      <c r="D58">
        <f t="shared" si="4"/>
        <v>3</v>
      </c>
      <c r="E58" s="5">
        <v>103.44369010404927</v>
      </c>
      <c r="F58">
        <f t="shared" ref="F58:G73" si="7">F35</f>
        <v>339</v>
      </c>
      <c r="G58">
        <f t="shared" si="7"/>
        <v>155</v>
      </c>
      <c r="H58" s="1">
        <v>0</v>
      </c>
      <c r="I58" t="str">
        <f t="shared" si="0"/>
        <v>Antes da campanha</v>
      </c>
      <c r="J58" s="8">
        <f t="shared" si="1"/>
        <v>35067.410945272699</v>
      </c>
      <c r="K58" s="8">
        <f t="shared" si="2"/>
        <v>19033.638979145064</v>
      </c>
    </row>
    <row r="59" spans="1:11" x14ac:dyDescent="0.25">
      <c r="A59" t="str">
        <f t="shared" si="3"/>
        <v>L</v>
      </c>
      <c r="B59" t="s">
        <v>30</v>
      </c>
      <c r="C59">
        <v>2025</v>
      </c>
      <c r="D59">
        <f t="shared" si="4"/>
        <v>3</v>
      </c>
      <c r="E59" s="5">
        <v>464.01756392744267</v>
      </c>
      <c r="F59">
        <f t="shared" si="7"/>
        <v>379</v>
      </c>
      <c r="G59">
        <f t="shared" si="7"/>
        <v>165</v>
      </c>
      <c r="H59" s="1">
        <v>0</v>
      </c>
      <c r="I59" t="str">
        <f t="shared" si="0"/>
        <v>Antes da campanha</v>
      </c>
      <c r="J59" s="8">
        <f t="shared" si="1"/>
        <v>175862.65672850076</v>
      </c>
      <c r="K59" s="8">
        <f t="shared" si="2"/>
        <v>99299.758680472733</v>
      </c>
    </row>
    <row r="60" spans="1:11" x14ac:dyDescent="0.25">
      <c r="A60" t="str">
        <f t="shared" si="3"/>
        <v>M</v>
      </c>
      <c r="B60" t="s">
        <v>28</v>
      </c>
      <c r="C60">
        <v>2025</v>
      </c>
      <c r="D60">
        <f t="shared" si="4"/>
        <v>3</v>
      </c>
      <c r="E60" s="5">
        <v>638.2200693981631</v>
      </c>
      <c r="F60">
        <f t="shared" si="7"/>
        <v>276</v>
      </c>
      <c r="G60">
        <f t="shared" si="7"/>
        <v>195</v>
      </c>
      <c r="H60" s="1">
        <v>0</v>
      </c>
      <c r="I60" t="str">
        <f t="shared" si="0"/>
        <v>Antes da campanha</v>
      </c>
      <c r="J60" s="8">
        <f t="shared" si="1"/>
        <v>176148.73915389302</v>
      </c>
      <c r="K60" s="8">
        <f t="shared" si="2"/>
        <v>51695.825621251213</v>
      </c>
    </row>
    <row r="61" spans="1:11" x14ac:dyDescent="0.25">
      <c r="A61" t="str">
        <f t="shared" si="3"/>
        <v>N</v>
      </c>
      <c r="B61" t="s">
        <v>29</v>
      </c>
      <c r="C61">
        <v>2025</v>
      </c>
      <c r="D61">
        <f t="shared" si="4"/>
        <v>3</v>
      </c>
      <c r="E61" s="5">
        <v>112.01763711312708</v>
      </c>
      <c r="F61">
        <f t="shared" si="7"/>
        <v>271</v>
      </c>
      <c r="G61">
        <f t="shared" si="7"/>
        <v>152</v>
      </c>
      <c r="H61" s="1">
        <v>0</v>
      </c>
      <c r="I61" t="str">
        <f t="shared" si="0"/>
        <v>Antes da campanha</v>
      </c>
      <c r="J61" s="8">
        <f t="shared" si="1"/>
        <v>30356.77965765744</v>
      </c>
      <c r="K61" s="8">
        <f t="shared" si="2"/>
        <v>13330.098816462123</v>
      </c>
    </row>
    <row r="62" spans="1:11" x14ac:dyDescent="0.25">
      <c r="A62" t="str">
        <f t="shared" si="3"/>
        <v>O</v>
      </c>
      <c r="B62" t="s">
        <v>30</v>
      </c>
      <c r="C62">
        <v>2025</v>
      </c>
      <c r="D62">
        <f t="shared" si="4"/>
        <v>3</v>
      </c>
      <c r="E62" s="5">
        <v>968.87896763427193</v>
      </c>
      <c r="F62">
        <f t="shared" si="7"/>
        <v>381</v>
      </c>
      <c r="G62">
        <f t="shared" si="7"/>
        <v>179</v>
      </c>
      <c r="H62" s="1">
        <v>0</v>
      </c>
      <c r="I62" t="str">
        <f t="shared" si="0"/>
        <v>Antes da campanha</v>
      </c>
      <c r="J62" s="8">
        <f t="shared" si="1"/>
        <v>369142.88666865759</v>
      </c>
      <c r="K62" s="8">
        <f t="shared" si="2"/>
        <v>195713.55146212294</v>
      </c>
    </row>
    <row r="63" spans="1:11" x14ac:dyDescent="0.25">
      <c r="A63" t="str">
        <f t="shared" si="3"/>
        <v>P</v>
      </c>
      <c r="B63" t="s">
        <v>28</v>
      </c>
      <c r="C63">
        <v>2025</v>
      </c>
      <c r="D63">
        <f t="shared" si="4"/>
        <v>3</v>
      </c>
      <c r="E63" s="5">
        <v>84.972839213675826</v>
      </c>
      <c r="F63">
        <f t="shared" si="7"/>
        <v>300</v>
      </c>
      <c r="G63">
        <f t="shared" si="7"/>
        <v>155</v>
      </c>
      <c r="H63" s="1">
        <v>0</v>
      </c>
      <c r="I63" t="str">
        <f t="shared" si="0"/>
        <v>Antes da campanha</v>
      </c>
      <c r="J63" s="8">
        <f t="shared" si="1"/>
        <v>25491.851764102747</v>
      </c>
      <c r="K63" s="8">
        <f t="shared" si="2"/>
        <v>12321.061685982995</v>
      </c>
    </row>
    <row r="64" spans="1:11" x14ac:dyDescent="0.25">
      <c r="A64" t="str">
        <f t="shared" si="3"/>
        <v>Q</v>
      </c>
      <c r="B64" t="s">
        <v>29</v>
      </c>
      <c r="C64">
        <v>2025</v>
      </c>
      <c r="D64">
        <f t="shared" si="4"/>
        <v>3</v>
      </c>
      <c r="E64" s="5">
        <v>839.67972250353205</v>
      </c>
      <c r="F64">
        <f t="shared" si="7"/>
        <v>323</v>
      </c>
      <c r="G64">
        <f t="shared" si="7"/>
        <v>151</v>
      </c>
      <c r="H64" s="1">
        <v>0</v>
      </c>
      <c r="I64" t="str">
        <f t="shared" si="0"/>
        <v>Antes da campanha</v>
      </c>
      <c r="J64" s="8">
        <f t="shared" si="1"/>
        <v>271216.55036864086</v>
      </c>
      <c r="K64" s="8">
        <f t="shared" si="2"/>
        <v>144424.91227060751</v>
      </c>
    </row>
    <row r="65" spans="1:11" x14ac:dyDescent="0.25">
      <c r="A65" t="str">
        <f t="shared" si="3"/>
        <v>R</v>
      </c>
      <c r="B65" t="s">
        <v>30</v>
      </c>
      <c r="C65">
        <v>2025</v>
      </c>
      <c r="D65">
        <f t="shared" si="4"/>
        <v>3</v>
      </c>
      <c r="E65" s="5">
        <v>925.0503191873629</v>
      </c>
      <c r="F65">
        <f t="shared" si="7"/>
        <v>348</v>
      </c>
      <c r="G65">
        <f t="shared" si="7"/>
        <v>163</v>
      </c>
      <c r="H65" s="1">
        <v>0</v>
      </c>
      <c r="I65" t="str">
        <f t="shared" si="0"/>
        <v>Antes da campanha</v>
      </c>
      <c r="J65" s="8">
        <f t="shared" si="1"/>
        <v>321917.51107720227</v>
      </c>
      <c r="K65" s="8">
        <f t="shared" si="2"/>
        <v>171134.30904966214</v>
      </c>
    </row>
    <row r="66" spans="1:11" x14ac:dyDescent="0.25">
      <c r="A66" t="str">
        <f t="shared" si="3"/>
        <v>S</v>
      </c>
      <c r="B66" t="s">
        <v>28</v>
      </c>
      <c r="C66">
        <v>2025</v>
      </c>
      <c r="D66">
        <f t="shared" si="4"/>
        <v>3</v>
      </c>
      <c r="E66" s="5">
        <v>472.38592597511547</v>
      </c>
      <c r="F66">
        <f t="shared" si="7"/>
        <v>392</v>
      </c>
      <c r="G66">
        <f t="shared" si="7"/>
        <v>112</v>
      </c>
      <c r="H66" s="1">
        <v>0</v>
      </c>
      <c r="I66" t="str">
        <f t="shared" si="0"/>
        <v>Antes da campanha</v>
      </c>
      <c r="J66" s="8">
        <f t="shared" si="1"/>
        <v>185175.28298224526</v>
      </c>
      <c r="K66" s="8">
        <f t="shared" si="2"/>
        <v>132268.05927303233</v>
      </c>
    </row>
    <row r="67" spans="1:11" x14ac:dyDescent="0.25">
      <c r="A67" t="str">
        <f t="shared" si="3"/>
        <v>T</v>
      </c>
      <c r="B67" t="s">
        <v>29</v>
      </c>
      <c r="C67">
        <v>2025</v>
      </c>
      <c r="D67">
        <f t="shared" si="4"/>
        <v>3</v>
      </c>
      <c r="E67" s="5">
        <v>405.43901343382544</v>
      </c>
      <c r="F67">
        <f t="shared" si="7"/>
        <v>320</v>
      </c>
      <c r="G67">
        <f t="shared" si="7"/>
        <v>161</v>
      </c>
      <c r="H67" s="1">
        <v>0</v>
      </c>
      <c r="I67" t="str">
        <f t="shared" ref="I67:I130" si="8">IF(D67&lt;=3, "Antes da campanha", "Depois da campanha")</f>
        <v>Antes da campanha</v>
      </c>
      <c r="J67" s="8">
        <f t="shared" ref="J67:J130" si="9">E67*F67</f>
        <v>129740.48429882414</v>
      </c>
      <c r="K67" s="8">
        <f t="shared" ref="K67:K130" si="10">(F67-G67)*E67</f>
        <v>64464.803135978247</v>
      </c>
    </row>
    <row r="68" spans="1:11" x14ac:dyDescent="0.25">
      <c r="A68" t="str">
        <f t="shared" si="3"/>
        <v>U</v>
      </c>
      <c r="B68" t="s">
        <v>30</v>
      </c>
      <c r="C68">
        <v>2025</v>
      </c>
      <c r="D68">
        <f t="shared" si="4"/>
        <v>3</v>
      </c>
      <c r="E68" s="5">
        <v>280.71013490904477</v>
      </c>
      <c r="F68">
        <f t="shared" si="7"/>
        <v>362</v>
      </c>
      <c r="G68">
        <f t="shared" si="7"/>
        <v>146</v>
      </c>
      <c r="H68" s="1">
        <v>0</v>
      </c>
      <c r="I68" t="str">
        <f t="shared" si="8"/>
        <v>Antes da campanha</v>
      </c>
      <c r="J68" s="8">
        <f t="shared" si="9"/>
        <v>101617.0688370742</v>
      </c>
      <c r="K68" s="8">
        <f t="shared" si="10"/>
        <v>60633.389140353669</v>
      </c>
    </row>
    <row r="69" spans="1:11" x14ac:dyDescent="0.25">
      <c r="A69" t="str">
        <f t="shared" si="3"/>
        <v>V</v>
      </c>
      <c r="B69" t="s">
        <v>28</v>
      </c>
      <c r="C69">
        <v>2025</v>
      </c>
      <c r="D69">
        <f t="shared" si="4"/>
        <v>3</v>
      </c>
      <c r="E69" s="5">
        <v>248.47912947739869</v>
      </c>
      <c r="F69">
        <f t="shared" si="7"/>
        <v>316</v>
      </c>
      <c r="G69">
        <f t="shared" si="7"/>
        <v>182</v>
      </c>
      <c r="H69" s="1">
        <v>0</v>
      </c>
      <c r="I69" t="str">
        <f t="shared" si="8"/>
        <v>Antes da campanha</v>
      </c>
      <c r="J69" s="8">
        <f t="shared" si="9"/>
        <v>78519.40491485798</v>
      </c>
      <c r="K69" s="8">
        <f t="shared" si="10"/>
        <v>33296.203349971423</v>
      </c>
    </row>
    <row r="70" spans="1:11" x14ac:dyDescent="0.25">
      <c r="A70" t="str">
        <f t="shared" si="3"/>
        <v>X</v>
      </c>
      <c r="B70" t="s">
        <v>29</v>
      </c>
      <c r="C70">
        <v>2025</v>
      </c>
      <c r="D70">
        <f t="shared" si="4"/>
        <v>3</v>
      </c>
      <c r="E70" s="5">
        <v>375.01871514578221</v>
      </c>
      <c r="F70">
        <f t="shared" si="7"/>
        <v>293</v>
      </c>
      <c r="G70">
        <f t="shared" si="7"/>
        <v>161</v>
      </c>
      <c r="H70" s="1">
        <v>-0.03</v>
      </c>
      <c r="I70" t="str">
        <f t="shared" si="8"/>
        <v>Antes da campanha</v>
      </c>
      <c r="J70" s="8">
        <f t="shared" si="9"/>
        <v>109880.48353771419</v>
      </c>
      <c r="K70" s="8">
        <f t="shared" si="10"/>
        <v>49502.470399243255</v>
      </c>
    </row>
    <row r="71" spans="1:11" x14ac:dyDescent="0.25">
      <c r="A71" t="str">
        <f t="shared" si="3"/>
        <v>A</v>
      </c>
      <c r="B71" t="s">
        <v>28</v>
      </c>
      <c r="C71">
        <v>2025</v>
      </c>
      <c r="D71">
        <f t="shared" si="4"/>
        <v>4</v>
      </c>
      <c r="E71" s="5">
        <v>703.67225999328298</v>
      </c>
      <c r="F71">
        <f t="shared" si="7"/>
        <v>304</v>
      </c>
      <c r="G71">
        <f t="shared" si="7"/>
        <v>165</v>
      </c>
      <c r="H71" s="1">
        <v>-0.03</v>
      </c>
      <c r="I71" t="str">
        <f t="shared" si="8"/>
        <v>Depois da campanha</v>
      </c>
      <c r="J71" s="8">
        <f t="shared" si="9"/>
        <v>213916.36703795803</v>
      </c>
      <c r="K71" s="8">
        <f t="shared" si="10"/>
        <v>97810.444139066327</v>
      </c>
    </row>
    <row r="72" spans="1:11" x14ac:dyDescent="0.25">
      <c r="A72" t="str">
        <f t="shared" si="3"/>
        <v>B</v>
      </c>
      <c r="B72" t="s">
        <v>29</v>
      </c>
      <c r="C72">
        <v>2025</v>
      </c>
      <c r="D72">
        <f t="shared" si="4"/>
        <v>4</v>
      </c>
      <c r="E72" s="5">
        <v>664.06116120347008</v>
      </c>
      <c r="F72">
        <f t="shared" si="7"/>
        <v>268</v>
      </c>
      <c r="G72">
        <f t="shared" si="7"/>
        <v>163</v>
      </c>
      <c r="H72" s="1">
        <v>-0.03</v>
      </c>
      <c r="I72" t="str">
        <f t="shared" si="8"/>
        <v>Depois da campanha</v>
      </c>
      <c r="J72" s="8">
        <f t="shared" si="9"/>
        <v>177968.39120252998</v>
      </c>
      <c r="K72" s="8">
        <f t="shared" si="10"/>
        <v>69726.421926364361</v>
      </c>
    </row>
    <row r="73" spans="1:11" x14ac:dyDescent="0.25">
      <c r="A73" t="str">
        <f t="shared" si="3"/>
        <v>C</v>
      </c>
      <c r="B73" t="s">
        <v>30</v>
      </c>
      <c r="C73">
        <v>2025</v>
      </c>
      <c r="D73">
        <f t="shared" si="4"/>
        <v>4</v>
      </c>
      <c r="E73" s="5">
        <v>521.31451325411706</v>
      </c>
      <c r="F73">
        <f t="shared" si="7"/>
        <v>322</v>
      </c>
      <c r="G73">
        <f t="shared" si="7"/>
        <v>193</v>
      </c>
      <c r="H73" s="1">
        <v>-0.03</v>
      </c>
      <c r="I73" t="str">
        <f t="shared" si="8"/>
        <v>Depois da campanha</v>
      </c>
      <c r="J73" s="8">
        <f t="shared" si="9"/>
        <v>167863.27326782569</v>
      </c>
      <c r="K73" s="8">
        <f t="shared" si="10"/>
        <v>67249.572209781094</v>
      </c>
    </row>
    <row r="74" spans="1:11" x14ac:dyDescent="0.25">
      <c r="A74" t="str">
        <f t="shared" si="3"/>
        <v>D</v>
      </c>
      <c r="B74" t="s">
        <v>28</v>
      </c>
      <c r="C74">
        <v>2025</v>
      </c>
      <c r="D74">
        <f t="shared" si="4"/>
        <v>4</v>
      </c>
      <c r="E74" s="5">
        <v>609.78113412607968</v>
      </c>
      <c r="F74">
        <f t="shared" ref="F74:G89" si="11">F51</f>
        <v>250</v>
      </c>
      <c r="G74">
        <f t="shared" si="11"/>
        <v>171</v>
      </c>
      <c r="H74" s="1">
        <v>-0.03</v>
      </c>
      <c r="I74" t="str">
        <f t="shared" si="8"/>
        <v>Depois da campanha</v>
      </c>
      <c r="J74" s="8">
        <f t="shared" si="9"/>
        <v>152445.28353151993</v>
      </c>
      <c r="K74" s="8">
        <f t="shared" si="10"/>
        <v>48172.709595960296</v>
      </c>
    </row>
    <row r="75" spans="1:11" x14ac:dyDescent="0.25">
      <c r="A75" t="str">
        <f t="shared" si="3"/>
        <v>E</v>
      </c>
      <c r="B75" t="s">
        <v>29</v>
      </c>
      <c r="C75">
        <v>2025</v>
      </c>
      <c r="D75">
        <f t="shared" si="4"/>
        <v>4</v>
      </c>
      <c r="E75" s="5">
        <v>798.72793304836466</v>
      </c>
      <c r="F75">
        <f t="shared" si="11"/>
        <v>321</v>
      </c>
      <c r="G75">
        <f t="shared" si="11"/>
        <v>192</v>
      </c>
      <c r="H75" s="1">
        <v>-0.03</v>
      </c>
      <c r="I75" t="str">
        <f t="shared" si="8"/>
        <v>Depois da campanha</v>
      </c>
      <c r="J75" s="8">
        <f t="shared" si="9"/>
        <v>256391.66650852506</v>
      </c>
      <c r="K75" s="8">
        <f t="shared" si="10"/>
        <v>103035.90336323903</v>
      </c>
    </row>
    <row r="76" spans="1:11" x14ac:dyDescent="0.25">
      <c r="A76" t="str">
        <f t="shared" si="3"/>
        <v>F</v>
      </c>
      <c r="B76" t="s">
        <v>30</v>
      </c>
      <c r="C76">
        <v>2025</v>
      </c>
      <c r="D76">
        <f t="shared" si="4"/>
        <v>4</v>
      </c>
      <c r="E76" s="5">
        <v>532.32195282893963</v>
      </c>
      <c r="F76">
        <f t="shared" si="11"/>
        <v>324</v>
      </c>
      <c r="G76">
        <f t="shared" si="11"/>
        <v>196</v>
      </c>
      <c r="H76" s="1">
        <v>-0.03</v>
      </c>
      <c r="I76" t="str">
        <f t="shared" si="8"/>
        <v>Depois da campanha</v>
      </c>
      <c r="J76" s="8">
        <f t="shared" si="9"/>
        <v>172472.31271657645</v>
      </c>
      <c r="K76" s="8">
        <f t="shared" si="10"/>
        <v>68137.209962104273</v>
      </c>
    </row>
    <row r="77" spans="1:11" x14ac:dyDescent="0.25">
      <c r="A77" t="str">
        <f t="shared" si="3"/>
        <v>G</v>
      </c>
      <c r="B77" t="s">
        <v>28</v>
      </c>
      <c r="C77">
        <v>2025</v>
      </c>
      <c r="D77">
        <f t="shared" si="4"/>
        <v>4</v>
      </c>
      <c r="E77" s="5">
        <v>245.12548645941592</v>
      </c>
      <c r="F77">
        <f t="shared" si="11"/>
        <v>322</v>
      </c>
      <c r="G77">
        <f t="shared" si="11"/>
        <v>174</v>
      </c>
      <c r="H77" s="1">
        <v>-0.03</v>
      </c>
      <c r="I77" t="str">
        <f t="shared" si="8"/>
        <v>Depois da campanha</v>
      </c>
      <c r="J77" s="8">
        <f t="shared" si="9"/>
        <v>78930.406639931927</v>
      </c>
      <c r="K77" s="8">
        <f t="shared" si="10"/>
        <v>36278.57199599356</v>
      </c>
    </row>
    <row r="78" spans="1:11" x14ac:dyDescent="0.25">
      <c r="A78" t="str">
        <f t="shared" si="3"/>
        <v>H</v>
      </c>
      <c r="B78" t="s">
        <v>29</v>
      </c>
      <c r="C78">
        <v>2025</v>
      </c>
      <c r="D78">
        <f t="shared" si="4"/>
        <v>4</v>
      </c>
      <c r="E78" s="5">
        <v>227.74408637692378</v>
      </c>
      <c r="F78">
        <f t="shared" si="11"/>
        <v>339</v>
      </c>
      <c r="G78">
        <f t="shared" si="11"/>
        <v>200</v>
      </c>
      <c r="H78" s="1">
        <v>-0.03</v>
      </c>
      <c r="I78" t="str">
        <f t="shared" si="8"/>
        <v>Depois da campanha</v>
      </c>
      <c r="J78" s="8">
        <f t="shared" si="9"/>
        <v>77205.245281777155</v>
      </c>
      <c r="K78" s="8">
        <f t="shared" si="10"/>
        <v>31656.428006392405</v>
      </c>
    </row>
    <row r="79" spans="1:11" x14ac:dyDescent="0.25">
      <c r="A79" t="str">
        <f t="shared" si="3"/>
        <v>I</v>
      </c>
      <c r="B79" t="s">
        <v>30</v>
      </c>
      <c r="C79">
        <v>2025</v>
      </c>
      <c r="D79">
        <f t="shared" si="4"/>
        <v>4</v>
      </c>
      <c r="E79" s="5">
        <v>187.99896550065952</v>
      </c>
      <c r="F79">
        <f t="shared" si="11"/>
        <v>389</v>
      </c>
      <c r="G79">
        <f t="shared" si="11"/>
        <v>149</v>
      </c>
      <c r="H79" s="1">
        <v>-0.03</v>
      </c>
      <c r="I79" t="str">
        <f t="shared" si="8"/>
        <v>Depois da campanha</v>
      </c>
      <c r="J79" s="8">
        <f t="shared" si="9"/>
        <v>73131.597579756548</v>
      </c>
      <c r="K79" s="8">
        <f t="shared" si="10"/>
        <v>45119.751720158289</v>
      </c>
    </row>
    <row r="80" spans="1:11" x14ac:dyDescent="0.25">
      <c r="A80" t="str">
        <f t="shared" si="3"/>
        <v>J</v>
      </c>
      <c r="B80" t="s">
        <v>28</v>
      </c>
      <c r="C80">
        <v>2025</v>
      </c>
      <c r="D80">
        <f t="shared" si="4"/>
        <v>4</v>
      </c>
      <c r="E80" s="5">
        <v>272.06835329402833</v>
      </c>
      <c r="F80">
        <f t="shared" si="11"/>
        <v>280</v>
      </c>
      <c r="G80">
        <f t="shared" si="11"/>
        <v>124</v>
      </c>
      <c r="H80" s="1">
        <v>-0.03</v>
      </c>
      <c r="I80" t="str">
        <f t="shared" si="8"/>
        <v>Depois da campanha</v>
      </c>
      <c r="J80" s="8">
        <f t="shared" si="9"/>
        <v>76179.138922327926</v>
      </c>
      <c r="K80" s="8">
        <f t="shared" si="10"/>
        <v>42442.663113868417</v>
      </c>
    </row>
    <row r="81" spans="1:11" x14ac:dyDescent="0.25">
      <c r="A81" t="str">
        <f t="shared" si="3"/>
        <v>K</v>
      </c>
      <c r="B81" t="s">
        <v>29</v>
      </c>
      <c r="C81">
        <v>2025</v>
      </c>
      <c r="D81">
        <f t="shared" si="4"/>
        <v>4</v>
      </c>
      <c r="E81" s="5">
        <v>90.129155734221143</v>
      </c>
      <c r="F81">
        <f t="shared" si="11"/>
        <v>339</v>
      </c>
      <c r="G81">
        <f t="shared" si="11"/>
        <v>155</v>
      </c>
      <c r="H81" s="1">
        <v>-0.03</v>
      </c>
      <c r="I81" t="str">
        <f t="shared" si="8"/>
        <v>Depois da campanha</v>
      </c>
      <c r="J81" s="8">
        <f t="shared" si="9"/>
        <v>30553.783793900966</v>
      </c>
      <c r="K81" s="8">
        <f t="shared" si="10"/>
        <v>16583.764655096689</v>
      </c>
    </row>
    <row r="82" spans="1:11" x14ac:dyDescent="0.25">
      <c r="A82" t="str">
        <f t="shared" si="3"/>
        <v>L</v>
      </c>
      <c r="B82" t="s">
        <v>30</v>
      </c>
      <c r="C82">
        <v>2025</v>
      </c>
      <c r="D82">
        <f t="shared" si="4"/>
        <v>4</v>
      </c>
      <c r="E82" s="5">
        <v>389.44331258196075</v>
      </c>
      <c r="F82">
        <f t="shared" si="11"/>
        <v>379</v>
      </c>
      <c r="G82">
        <f t="shared" si="11"/>
        <v>165</v>
      </c>
      <c r="H82" s="1">
        <v>-0.03</v>
      </c>
      <c r="I82" t="str">
        <f t="shared" si="8"/>
        <v>Depois da campanha</v>
      </c>
      <c r="J82" s="8">
        <f t="shared" si="9"/>
        <v>147599.01546856313</v>
      </c>
      <c r="K82" s="8">
        <f t="shared" si="10"/>
        <v>83340.868892539598</v>
      </c>
    </row>
    <row r="83" spans="1:11" x14ac:dyDescent="0.25">
      <c r="A83" t="str">
        <f t="shared" si="3"/>
        <v>M</v>
      </c>
      <c r="B83" t="s">
        <v>28</v>
      </c>
      <c r="C83">
        <v>2025</v>
      </c>
      <c r="D83">
        <f t="shared" si="4"/>
        <v>4</v>
      </c>
      <c r="E83" s="5">
        <v>738.33302146061999</v>
      </c>
      <c r="F83">
        <f t="shared" si="11"/>
        <v>276</v>
      </c>
      <c r="G83">
        <f t="shared" si="11"/>
        <v>195</v>
      </c>
      <c r="H83" s="1">
        <v>-0.03</v>
      </c>
      <c r="I83" t="str">
        <f t="shared" si="8"/>
        <v>Depois da campanha</v>
      </c>
      <c r="J83" s="8">
        <f t="shared" si="9"/>
        <v>203779.91392313113</v>
      </c>
      <c r="K83" s="8">
        <f t="shared" si="10"/>
        <v>59804.974738310222</v>
      </c>
    </row>
    <row r="84" spans="1:11" x14ac:dyDescent="0.25">
      <c r="A84" t="str">
        <f t="shared" si="3"/>
        <v>N</v>
      </c>
      <c r="B84" t="s">
        <v>29</v>
      </c>
      <c r="C84">
        <v>2025</v>
      </c>
      <c r="D84">
        <f t="shared" si="4"/>
        <v>4</v>
      </c>
      <c r="E84" s="5">
        <v>122.89313586197436</v>
      </c>
      <c r="F84">
        <f t="shared" si="11"/>
        <v>271</v>
      </c>
      <c r="G84">
        <f t="shared" si="11"/>
        <v>152</v>
      </c>
      <c r="H84" s="1">
        <v>-0.03</v>
      </c>
      <c r="I84" t="str">
        <f t="shared" si="8"/>
        <v>Depois da campanha</v>
      </c>
      <c r="J84" s="8">
        <f t="shared" si="9"/>
        <v>33304.039818595054</v>
      </c>
      <c r="K84" s="8">
        <f t="shared" si="10"/>
        <v>14624.283167574949</v>
      </c>
    </row>
    <row r="85" spans="1:11" x14ac:dyDescent="0.25">
      <c r="A85" t="str">
        <f t="shared" si="3"/>
        <v>O</v>
      </c>
      <c r="B85" t="s">
        <v>30</v>
      </c>
      <c r="C85">
        <v>2025</v>
      </c>
      <c r="D85">
        <f t="shared" si="4"/>
        <v>4</v>
      </c>
      <c r="E85" s="5">
        <v>1162.6547611611263</v>
      </c>
      <c r="F85">
        <f t="shared" si="11"/>
        <v>381</v>
      </c>
      <c r="G85">
        <f t="shared" si="11"/>
        <v>179</v>
      </c>
      <c r="H85" s="1">
        <v>-0.03</v>
      </c>
      <c r="I85" t="str">
        <f t="shared" si="8"/>
        <v>Depois da campanha</v>
      </c>
      <c r="J85" s="8">
        <f t="shared" si="9"/>
        <v>442971.46400238911</v>
      </c>
      <c r="K85" s="8">
        <f t="shared" si="10"/>
        <v>234856.26175454751</v>
      </c>
    </row>
    <row r="86" spans="1:11" x14ac:dyDescent="0.25">
      <c r="A86" t="str">
        <f t="shared" si="3"/>
        <v>P</v>
      </c>
      <c r="B86" t="s">
        <v>28</v>
      </c>
      <c r="C86">
        <v>2025</v>
      </c>
      <c r="D86">
        <f t="shared" si="4"/>
        <v>4</v>
      </c>
      <c r="E86" s="5">
        <v>88.371752782222856</v>
      </c>
      <c r="F86">
        <f t="shared" si="11"/>
        <v>300</v>
      </c>
      <c r="G86">
        <f t="shared" si="11"/>
        <v>155</v>
      </c>
      <c r="H86" s="1">
        <v>-0.03</v>
      </c>
      <c r="I86" t="str">
        <f t="shared" si="8"/>
        <v>Depois da campanha</v>
      </c>
      <c r="J86" s="8">
        <f t="shared" si="9"/>
        <v>26511.525834666856</v>
      </c>
      <c r="K86" s="8">
        <f t="shared" si="10"/>
        <v>12813.904153422314</v>
      </c>
    </row>
    <row r="87" spans="1:11" x14ac:dyDescent="0.25">
      <c r="A87" t="str">
        <f t="shared" si="3"/>
        <v>Q</v>
      </c>
      <c r="B87" t="s">
        <v>29</v>
      </c>
      <c r="C87">
        <v>2025</v>
      </c>
      <c r="D87">
        <f t="shared" si="4"/>
        <v>4</v>
      </c>
      <c r="E87" s="5">
        <v>863.4442429517452</v>
      </c>
      <c r="F87">
        <f t="shared" si="11"/>
        <v>323</v>
      </c>
      <c r="G87">
        <f t="shared" si="11"/>
        <v>151</v>
      </c>
      <c r="H87" s="1">
        <v>-0.03</v>
      </c>
      <c r="I87" t="str">
        <f t="shared" si="8"/>
        <v>Depois da campanha</v>
      </c>
      <c r="J87" s="8">
        <f t="shared" si="9"/>
        <v>278892.49047341372</v>
      </c>
      <c r="K87" s="8">
        <f t="shared" si="10"/>
        <v>148512.40978770016</v>
      </c>
    </row>
    <row r="88" spans="1:11" x14ac:dyDescent="0.25">
      <c r="A88" t="str">
        <f t="shared" si="3"/>
        <v>R</v>
      </c>
      <c r="B88" t="s">
        <v>30</v>
      </c>
      <c r="C88">
        <v>2025</v>
      </c>
      <c r="D88">
        <f t="shared" si="4"/>
        <v>4</v>
      </c>
      <c r="E88" s="5">
        <v>726.82525079007075</v>
      </c>
      <c r="F88">
        <f t="shared" si="11"/>
        <v>348</v>
      </c>
      <c r="G88">
        <f t="shared" si="11"/>
        <v>163</v>
      </c>
      <c r="H88" s="1">
        <v>-0.03</v>
      </c>
      <c r="I88" t="str">
        <f t="shared" si="8"/>
        <v>Depois da campanha</v>
      </c>
      <c r="J88" s="8">
        <f t="shared" si="9"/>
        <v>252935.18727494462</v>
      </c>
      <c r="K88" s="8">
        <f t="shared" si="10"/>
        <v>134462.67139616309</v>
      </c>
    </row>
    <row r="89" spans="1:11" x14ac:dyDescent="0.25">
      <c r="A89" t="str">
        <f t="shared" si="3"/>
        <v>S</v>
      </c>
      <c r="B89" t="s">
        <v>28</v>
      </c>
      <c r="C89">
        <v>2025</v>
      </c>
      <c r="D89">
        <f t="shared" si="4"/>
        <v>4</v>
      </c>
      <c r="E89" s="5">
        <v>618.12200952062983</v>
      </c>
      <c r="F89">
        <f t="shared" si="11"/>
        <v>392</v>
      </c>
      <c r="G89">
        <f t="shared" si="11"/>
        <v>112</v>
      </c>
      <c r="H89" s="1">
        <v>-0.03</v>
      </c>
      <c r="I89" t="str">
        <f t="shared" si="8"/>
        <v>Depois da campanha</v>
      </c>
      <c r="J89" s="8">
        <f t="shared" si="9"/>
        <v>242303.82773208688</v>
      </c>
      <c r="K89" s="8">
        <f t="shared" si="10"/>
        <v>173074.16266577636</v>
      </c>
    </row>
    <row r="90" spans="1:11" x14ac:dyDescent="0.25">
      <c r="A90" t="str">
        <f t="shared" ref="A90:A139" si="12">A67</f>
        <v>T</v>
      </c>
      <c r="B90" t="s">
        <v>29</v>
      </c>
      <c r="C90">
        <v>2025</v>
      </c>
      <c r="D90">
        <f t="shared" ref="D90:D139" si="13">D67+1</f>
        <v>4</v>
      </c>
      <c r="E90" s="5">
        <v>476.76624727866511</v>
      </c>
      <c r="F90">
        <f t="shared" ref="F90:G105" si="14">F67</f>
        <v>320</v>
      </c>
      <c r="G90">
        <f t="shared" si="14"/>
        <v>161</v>
      </c>
      <c r="H90" s="1">
        <v>-0.03</v>
      </c>
      <c r="I90" t="str">
        <f t="shared" si="8"/>
        <v>Depois da campanha</v>
      </c>
      <c r="J90" s="8">
        <f t="shared" si="9"/>
        <v>152565.19912917283</v>
      </c>
      <c r="K90" s="8">
        <f t="shared" si="10"/>
        <v>75805.833317307755</v>
      </c>
    </row>
    <row r="91" spans="1:11" x14ac:dyDescent="0.25">
      <c r="A91" t="str">
        <f t="shared" si="12"/>
        <v>U</v>
      </c>
      <c r="B91" t="s">
        <v>30</v>
      </c>
      <c r="C91">
        <v>2025</v>
      </c>
      <c r="D91">
        <f t="shared" si="13"/>
        <v>4</v>
      </c>
      <c r="E91" s="5">
        <v>288.96631534754607</v>
      </c>
      <c r="F91">
        <f t="shared" si="14"/>
        <v>362</v>
      </c>
      <c r="G91">
        <f t="shared" si="14"/>
        <v>146</v>
      </c>
      <c r="H91" s="1">
        <v>-0.03</v>
      </c>
      <c r="I91" t="str">
        <f t="shared" si="8"/>
        <v>Depois da campanha</v>
      </c>
      <c r="J91" s="8">
        <f t="shared" si="9"/>
        <v>104605.80615581168</v>
      </c>
      <c r="K91" s="8">
        <f t="shared" si="10"/>
        <v>62416.724115069948</v>
      </c>
    </row>
    <row r="92" spans="1:11" x14ac:dyDescent="0.25">
      <c r="A92" t="str">
        <f t="shared" si="12"/>
        <v>V</v>
      </c>
      <c r="B92" t="s">
        <v>28</v>
      </c>
      <c r="C92">
        <v>2025</v>
      </c>
      <c r="D92">
        <f t="shared" si="13"/>
        <v>4</v>
      </c>
      <c r="E92" s="5">
        <v>236.05517300352875</v>
      </c>
      <c r="F92">
        <f t="shared" si="14"/>
        <v>316</v>
      </c>
      <c r="G92">
        <f t="shared" si="14"/>
        <v>182</v>
      </c>
      <c r="H92" s="1">
        <v>-0.03</v>
      </c>
      <c r="I92" t="str">
        <f t="shared" si="8"/>
        <v>Depois da campanha</v>
      </c>
      <c r="J92" s="8">
        <f t="shared" si="9"/>
        <v>74593.434669115086</v>
      </c>
      <c r="K92" s="8">
        <f t="shared" si="10"/>
        <v>31631.393182472853</v>
      </c>
    </row>
    <row r="93" spans="1:11" x14ac:dyDescent="0.25">
      <c r="A93" t="str">
        <f t="shared" si="12"/>
        <v>X</v>
      </c>
      <c r="B93" t="s">
        <v>29</v>
      </c>
      <c r="C93">
        <v>2025</v>
      </c>
      <c r="D93">
        <f t="shared" si="13"/>
        <v>4</v>
      </c>
      <c r="E93" s="5">
        <v>425.80249948844028</v>
      </c>
      <c r="F93">
        <f t="shared" si="14"/>
        <v>293</v>
      </c>
      <c r="G93">
        <f t="shared" si="14"/>
        <v>161</v>
      </c>
      <c r="H93" s="1">
        <v>-0.03</v>
      </c>
      <c r="I93" t="str">
        <f t="shared" si="8"/>
        <v>Depois da campanha</v>
      </c>
      <c r="J93" s="8">
        <f t="shared" si="9"/>
        <v>124760.132350113</v>
      </c>
      <c r="K93" s="8">
        <f t="shared" si="10"/>
        <v>56205.929932474115</v>
      </c>
    </row>
    <row r="94" spans="1:11" x14ac:dyDescent="0.25">
      <c r="A94" t="str">
        <f t="shared" si="12"/>
        <v>A</v>
      </c>
      <c r="B94" t="s">
        <v>28</v>
      </c>
      <c r="C94">
        <v>2025</v>
      </c>
      <c r="D94">
        <f t="shared" si="13"/>
        <v>5</v>
      </c>
      <c r="E94" s="5">
        <v>682.77110375585869</v>
      </c>
      <c r="F94">
        <f t="shared" si="14"/>
        <v>304</v>
      </c>
      <c r="G94">
        <f t="shared" si="14"/>
        <v>165</v>
      </c>
      <c r="H94" s="1">
        <v>-0.03</v>
      </c>
      <c r="I94" t="str">
        <f t="shared" si="8"/>
        <v>Depois da campanha</v>
      </c>
      <c r="J94" s="8">
        <f t="shared" si="9"/>
        <v>207562.41554178105</v>
      </c>
      <c r="K94" s="8">
        <f t="shared" si="10"/>
        <v>94905.183422064365</v>
      </c>
    </row>
    <row r="95" spans="1:11" x14ac:dyDescent="0.25">
      <c r="A95" t="str">
        <f t="shared" si="12"/>
        <v>B</v>
      </c>
      <c r="B95" t="s">
        <v>29</v>
      </c>
      <c r="C95">
        <v>2025</v>
      </c>
      <c r="D95">
        <f t="shared" si="13"/>
        <v>5</v>
      </c>
      <c r="E95" s="5">
        <v>885.41488160462677</v>
      </c>
      <c r="F95">
        <f t="shared" si="14"/>
        <v>268</v>
      </c>
      <c r="G95">
        <f t="shared" si="14"/>
        <v>163</v>
      </c>
      <c r="H95" s="1">
        <v>-0.03</v>
      </c>
      <c r="I95" t="str">
        <f t="shared" si="8"/>
        <v>Depois da campanha</v>
      </c>
      <c r="J95" s="8">
        <f t="shared" si="9"/>
        <v>237291.18827003997</v>
      </c>
      <c r="K95" s="8">
        <f t="shared" si="10"/>
        <v>92968.56256848581</v>
      </c>
    </row>
    <row r="96" spans="1:11" x14ac:dyDescent="0.25">
      <c r="A96" t="str">
        <f t="shared" si="12"/>
        <v>C</v>
      </c>
      <c r="B96" t="s">
        <v>30</v>
      </c>
      <c r="C96">
        <v>2025</v>
      </c>
      <c r="D96">
        <f t="shared" si="13"/>
        <v>5</v>
      </c>
      <c r="E96" s="5">
        <v>597.33954643700929</v>
      </c>
      <c r="F96">
        <f t="shared" si="14"/>
        <v>322</v>
      </c>
      <c r="G96">
        <f t="shared" si="14"/>
        <v>193</v>
      </c>
      <c r="H96" s="1">
        <v>-0.03</v>
      </c>
      <c r="I96" t="str">
        <f t="shared" si="8"/>
        <v>Depois da campanha</v>
      </c>
      <c r="J96" s="8">
        <f t="shared" si="9"/>
        <v>192343.33395271699</v>
      </c>
      <c r="K96" s="8">
        <f t="shared" si="10"/>
        <v>77056.801490374201</v>
      </c>
    </row>
    <row r="97" spans="1:11" x14ac:dyDescent="0.25">
      <c r="A97" t="str">
        <f t="shared" si="12"/>
        <v>D</v>
      </c>
      <c r="B97" t="s">
        <v>28</v>
      </c>
      <c r="C97">
        <v>2025</v>
      </c>
      <c r="D97">
        <f t="shared" si="13"/>
        <v>5</v>
      </c>
      <c r="E97" s="5">
        <v>813.04151216810624</v>
      </c>
      <c r="F97">
        <f t="shared" si="14"/>
        <v>250</v>
      </c>
      <c r="G97">
        <f t="shared" si="14"/>
        <v>171</v>
      </c>
      <c r="H97" s="1">
        <v>-0.03</v>
      </c>
      <c r="I97" t="str">
        <f t="shared" si="8"/>
        <v>Depois da campanha</v>
      </c>
      <c r="J97" s="8">
        <f t="shared" si="9"/>
        <v>203260.37804202657</v>
      </c>
      <c r="K97" s="8">
        <f t="shared" si="10"/>
        <v>64230.279461280392</v>
      </c>
    </row>
    <row r="98" spans="1:11" x14ac:dyDescent="0.25">
      <c r="A98" t="str">
        <f t="shared" si="12"/>
        <v>E</v>
      </c>
      <c r="B98" t="s">
        <v>29</v>
      </c>
      <c r="C98">
        <v>2025</v>
      </c>
      <c r="D98">
        <f t="shared" si="13"/>
        <v>5</v>
      </c>
      <c r="E98" s="5">
        <v>602.54914247508214</v>
      </c>
      <c r="F98">
        <f t="shared" si="14"/>
        <v>321</v>
      </c>
      <c r="G98">
        <f t="shared" si="14"/>
        <v>192</v>
      </c>
      <c r="H98" s="1">
        <v>-0.03</v>
      </c>
      <c r="I98" t="str">
        <f t="shared" si="8"/>
        <v>Depois da campanha</v>
      </c>
      <c r="J98" s="8">
        <f t="shared" si="9"/>
        <v>193418.27473450138</v>
      </c>
      <c r="K98" s="8">
        <f t="shared" si="10"/>
        <v>77728.839379285593</v>
      </c>
    </row>
    <row r="99" spans="1:11" x14ac:dyDescent="0.25">
      <c r="A99" t="str">
        <f t="shared" si="12"/>
        <v>F</v>
      </c>
      <c r="B99" t="s">
        <v>30</v>
      </c>
      <c r="C99">
        <v>2025</v>
      </c>
      <c r="D99">
        <f t="shared" si="13"/>
        <v>5</v>
      </c>
      <c r="E99" s="5">
        <v>395.94194838516171</v>
      </c>
      <c r="F99">
        <f t="shared" si="14"/>
        <v>324</v>
      </c>
      <c r="G99">
        <f t="shared" si="14"/>
        <v>196</v>
      </c>
      <c r="H99" s="1">
        <v>-0.03</v>
      </c>
      <c r="I99" t="str">
        <f t="shared" si="8"/>
        <v>Depois da campanha</v>
      </c>
      <c r="J99" s="8">
        <f t="shared" si="9"/>
        <v>128285.19127679239</v>
      </c>
      <c r="K99" s="8">
        <f t="shared" si="10"/>
        <v>50680.569393300699</v>
      </c>
    </row>
    <row r="100" spans="1:11" x14ac:dyDescent="0.25">
      <c r="A100" t="str">
        <f t="shared" si="12"/>
        <v>G</v>
      </c>
      <c r="B100" t="s">
        <v>28</v>
      </c>
      <c r="C100">
        <v>2025</v>
      </c>
      <c r="D100">
        <f t="shared" si="13"/>
        <v>5</v>
      </c>
      <c r="E100" s="5">
        <v>306.40685807426991</v>
      </c>
      <c r="F100">
        <f t="shared" si="14"/>
        <v>322</v>
      </c>
      <c r="G100">
        <f t="shared" si="14"/>
        <v>174</v>
      </c>
      <c r="H100" s="1">
        <v>-0.03</v>
      </c>
      <c r="I100" t="str">
        <f t="shared" si="8"/>
        <v>Depois da campanha</v>
      </c>
      <c r="J100" s="8">
        <f t="shared" si="9"/>
        <v>98663.008299914916</v>
      </c>
      <c r="K100" s="8">
        <f t="shared" si="10"/>
        <v>45348.214994991948</v>
      </c>
    </row>
    <row r="101" spans="1:11" x14ac:dyDescent="0.25">
      <c r="A101" t="str">
        <f t="shared" si="12"/>
        <v>H</v>
      </c>
      <c r="B101" t="s">
        <v>29</v>
      </c>
      <c r="C101">
        <v>2025</v>
      </c>
      <c r="D101">
        <f t="shared" si="13"/>
        <v>5</v>
      </c>
      <c r="E101" s="5">
        <v>162.67434741208839</v>
      </c>
      <c r="F101">
        <f t="shared" si="14"/>
        <v>339</v>
      </c>
      <c r="G101">
        <f t="shared" si="14"/>
        <v>200</v>
      </c>
      <c r="H101" s="1">
        <v>-0.03</v>
      </c>
      <c r="I101" t="str">
        <f t="shared" si="8"/>
        <v>Depois da campanha</v>
      </c>
      <c r="J101" s="8">
        <f t="shared" si="9"/>
        <v>55146.603772697963</v>
      </c>
      <c r="K101" s="8">
        <f t="shared" si="10"/>
        <v>22611.734290280288</v>
      </c>
    </row>
    <row r="102" spans="1:11" x14ac:dyDescent="0.25">
      <c r="A102" t="str">
        <f t="shared" si="12"/>
        <v>I</v>
      </c>
      <c r="B102" t="s">
        <v>30</v>
      </c>
      <c r="C102">
        <v>2025</v>
      </c>
      <c r="D102">
        <f t="shared" si="13"/>
        <v>5</v>
      </c>
      <c r="E102" s="5">
        <v>152.74915946928587</v>
      </c>
      <c r="F102">
        <f t="shared" si="14"/>
        <v>389</v>
      </c>
      <c r="G102">
        <f t="shared" si="14"/>
        <v>149</v>
      </c>
      <c r="H102" s="1">
        <v>-0.03</v>
      </c>
      <c r="I102" t="str">
        <f t="shared" si="8"/>
        <v>Depois da campanha</v>
      </c>
      <c r="J102" s="8">
        <f t="shared" si="9"/>
        <v>59419.423033552201</v>
      </c>
      <c r="K102" s="8">
        <f t="shared" si="10"/>
        <v>36659.798272628606</v>
      </c>
    </row>
    <row r="103" spans="1:11" x14ac:dyDescent="0.25">
      <c r="A103" t="str">
        <f t="shared" si="12"/>
        <v>J</v>
      </c>
      <c r="B103" t="s">
        <v>28</v>
      </c>
      <c r="C103">
        <v>2025</v>
      </c>
      <c r="D103">
        <f t="shared" si="13"/>
        <v>5</v>
      </c>
      <c r="E103" s="5">
        <v>222.36355798069621</v>
      </c>
      <c r="F103">
        <f t="shared" si="14"/>
        <v>280</v>
      </c>
      <c r="G103">
        <f t="shared" si="14"/>
        <v>124</v>
      </c>
      <c r="H103" s="1">
        <v>-0.03</v>
      </c>
      <c r="I103" t="str">
        <f t="shared" si="8"/>
        <v>Depois da campanha</v>
      </c>
      <c r="J103" s="8">
        <f t="shared" si="9"/>
        <v>62261.796234594942</v>
      </c>
      <c r="K103" s="8">
        <f t="shared" si="10"/>
        <v>34688.71504498861</v>
      </c>
    </row>
    <row r="104" spans="1:11" x14ac:dyDescent="0.25">
      <c r="A104" t="str">
        <f t="shared" si="12"/>
        <v>K</v>
      </c>
      <c r="B104" t="s">
        <v>29</v>
      </c>
      <c r="C104">
        <v>2025</v>
      </c>
      <c r="D104">
        <f t="shared" si="13"/>
        <v>5</v>
      </c>
      <c r="E104" s="5">
        <v>123.92758913455407</v>
      </c>
      <c r="F104">
        <f t="shared" si="14"/>
        <v>339</v>
      </c>
      <c r="G104">
        <f t="shared" si="14"/>
        <v>155</v>
      </c>
      <c r="H104" s="1">
        <v>-0.03</v>
      </c>
      <c r="I104" t="str">
        <f t="shared" si="8"/>
        <v>Depois da campanha</v>
      </c>
      <c r="J104" s="8">
        <f t="shared" si="9"/>
        <v>42011.452716613829</v>
      </c>
      <c r="K104" s="8">
        <f t="shared" si="10"/>
        <v>22802.676400757948</v>
      </c>
    </row>
    <row r="105" spans="1:11" x14ac:dyDescent="0.25">
      <c r="A105" t="str">
        <f t="shared" si="12"/>
        <v>L</v>
      </c>
      <c r="B105" t="s">
        <v>30</v>
      </c>
      <c r="C105">
        <v>2025</v>
      </c>
      <c r="D105">
        <f t="shared" si="13"/>
        <v>5</v>
      </c>
      <c r="E105" s="5">
        <v>468.16057789108044</v>
      </c>
      <c r="F105">
        <f t="shared" si="14"/>
        <v>379</v>
      </c>
      <c r="G105">
        <f t="shared" si="14"/>
        <v>165</v>
      </c>
      <c r="H105" s="1">
        <v>-0.03</v>
      </c>
      <c r="I105" t="str">
        <f t="shared" si="8"/>
        <v>Depois da campanha</v>
      </c>
      <c r="J105" s="8">
        <f t="shared" si="9"/>
        <v>177432.85902071948</v>
      </c>
      <c r="K105" s="8">
        <f t="shared" si="10"/>
        <v>100186.36366869121</v>
      </c>
    </row>
    <row r="106" spans="1:11" x14ac:dyDescent="0.25">
      <c r="A106" t="str">
        <f t="shared" si="12"/>
        <v>M</v>
      </c>
      <c r="B106" t="s">
        <v>28</v>
      </c>
      <c r="C106">
        <v>2025</v>
      </c>
      <c r="D106">
        <f t="shared" si="13"/>
        <v>5</v>
      </c>
      <c r="E106" s="5">
        <v>763.3612594762343</v>
      </c>
      <c r="F106">
        <f t="shared" ref="F106:G121" si="15">F83</f>
        <v>276</v>
      </c>
      <c r="G106">
        <f t="shared" si="15"/>
        <v>195</v>
      </c>
      <c r="H106" s="1">
        <v>-0.03</v>
      </c>
      <c r="I106" t="str">
        <f t="shared" si="8"/>
        <v>Depois da campanha</v>
      </c>
      <c r="J106" s="8">
        <f t="shared" si="9"/>
        <v>210687.70761544065</v>
      </c>
      <c r="K106" s="8">
        <f t="shared" si="10"/>
        <v>61832.262017574976</v>
      </c>
    </row>
    <row r="107" spans="1:11" x14ac:dyDescent="0.25">
      <c r="A107" t="str">
        <f t="shared" si="12"/>
        <v>N</v>
      </c>
      <c r="B107" t="s">
        <v>29</v>
      </c>
      <c r="C107">
        <v>2025</v>
      </c>
      <c r="D107">
        <f t="shared" si="13"/>
        <v>5</v>
      </c>
      <c r="E107" s="5">
        <v>135.94373436059112</v>
      </c>
      <c r="F107">
        <f t="shared" si="15"/>
        <v>271</v>
      </c>
      <c r="G107">
        <f t="shared" si="15"/>
        <v>152</v>
      </c>
      <c r="H107" s="1">
        <v>-0.03</v>
      </c>
      <c r="I107" t="str">
        <f t="shared" si="8"/>
        <v>Depois da campanha</v>
      </c>
      <c r="J107" s="8">
        <f t="shared" si="9"/>
        <v>36840.752011720193</v>
      </c>
      <c r="K107" s="8">
        <f t="shared" si="10"/>
        <v>16177.304388910343</v>
      </c>
    </row>
    <row r="108" spans="1:11" x14ac:dyDescent="0.25">
      <c r="A108" t="str">
        <f t="shared" si="12"/>
        <v>O</v>
      </c>
      <c r="B108" t="s">
        <v>30</v>
      </c>
      <c r="C108">
        <v>2025</v>
      </c>
      <c r="D108">
        <f t="shared" si="13"/>
        <v>5</v>
      </c>
      <c r="E108" s="5">
        <v>922.74187393740181</v>
      </c>
      <c r="F108">
        <f t="shared" si="15"/>
        <v>381</v>
      </c>
      <c r="G108">
        <f t="shared" si="15"/>
        <v>179</v>
      </c>
      <c r="H108" s="1">
        <v>-0.03</v>
      </c>
      <c r="I108" t="str">
        <f t="shared" si="8"/>
        <v>Depois da campanha</v>
      </c>
      <c r="J108" s="8">
        <f t="shared" si="9"/>
        <v>351564.6539701501</v>
      </c>
      <c r="K108" s="8">
        <f t="shared" si="10"/>
        <v>186393.85853535516</v>
      </c>
    </row>
    <row r="109" spans="1:11" x14ac:dyDescent="0.25">
      <c r="A109" t="str">
        <f t="shared" si="12"/>
        <v>P</v>
      </c>
      <c r="B109" t="s">
        <v>28</v>
      </c>
      <c r="C109">
        <v>2025</v>
      </c>
      <c r="D109">
        <f t="shared" si="13"/>
        <v>5</v>
      </c>
      <c r="E109" s="5">
        <v>88.371752782222856</v>
      </c>
      <c r="F109">
        <f t="shared" si="15"/>
        <v>300</v>
      </c>
      <c r="G109">
        <f t="shared" si="15"/>
        <v>155</v>
      </c>
      <c r="H109" s="1">
        <v>-0.03</v>
      </c>
      <c r="I109" t="str">
        <f t="shared" si="8"/>
        <v>Depois da campanha</v>
      </c>
      <c r="J109" s="8">
        <f t="shared" si="9"/>
        <v>26511.525834666856</v>
      </c>
      <c r="K109" s="8">
        <f t="shared" si="10"/>
        <v>12813.904153422314</v>
      </c>
    </row>
    <row r="110" spans="1:11" x14ac:dyDescent="0.25">
      <c r="A110" t="str">
        <f t="shared" si="12"/>
        <v>Q</v>
      </c>
      <c r="B110" t="s">
        <v>29</v>
      </c>
      <c r="C110">
        <v>2025</v>
      </c>
      <c r="D110">
        <f t="shared" si="13"/>
        <v>5</v>
      </c>
      <c r="E110" s="5">
        <v>784.22917479103455</v>
      </c>
      <c r="F110">
        <f t="shared" si="15"/>
        <v>323</v>
      </c>
      <c r="G110">
        <f t="shared" si="15"/>
        <v>151</v>
      </c>
      <c r="H110" s="1">
        <v>-0.03</v>
      </c>
      <c r="I110" t="str">
        <f t="shared" si="8"/>
        <v>Depois da campanha</v>
      </c>
      <c r="J110" s="8">
        <f t="shared" si="9"/>
        <v>253306.02345750417</v>
      </c>
      <c r="K110" s="8">
        <f t="shared" si="10"/>
        <v>134887.41806405794</v>
      </c>
    </row>
    <row r="111" spans="1:11" x14ac:dyDescent="0.25">
      <c r="A111" t="str">
        <f t="shared" si="12"/>
        <v>R</v>
      </c>
      <c r="B111" t="s">
        <v>30</v>
      </c>
      <c r="C111">
        <v>2025</v>
      </c>
      <c r="D111">
        <f t="shared" si="13"/>
        <v>5</v>
      </c>
      <c r="E111" s="5">
        <v>883.75342993792697</v>
      </c>
      <c r="F111">
        <f t="shared" si="15"/>
        <v>348</v>
      </c>
      <c r="G111">
        <f t="shared" si="15"/>
        <v>163</v>
      </c>
      <c r="H111" s="1">
        <v>-0.03</v>
      </c>
      <c r="I111" t="str">
        <f t="shared" si="8"/>
        <v>Depois da campanha</v>
      </c>
      <c r="J111" s="8">
        <f t="shared" si="9"/>
        <v>307546.19361839857</v>
      </c>
      <c r="K111" s="8">
        <f t="shared" si="10"/>
        <v>163494.38453851649</v>
      </c>
    </row>
    <row r="112" spans="1:11" x14ac:dyDescent="0.25">
      <c r="A112" t="str">
        <f t="shared" si="12"/>
        <v>S</v>
      </c>
      <c r="B112" t="s">
        <v>28</v>
      </c>
      <c r="C112">
        <v>2025</v>
      </c>
      <c r="D112">
        <f t="shared" si="13"/>
        <v>5</v>
      </c>
      <c r="E112" s="5">
        <v>582.94433418205745</v>
      </c>
      <c r="F112">
        <f t="shared" si="15"/>
        <v>392</v>
      </c>
      <c r="G112">
        <f t="shared" si="15"/>
        <v>112</v>
      </c>
      <c r="H112" s="1">
        <v>-0.03</v>
      </c>
      <c r="I112" t="str">
        <f t="shared" si="8"/>
        <v>Depois da campanha</v>
      </c>
      <c r="J112" s="8">
        <f t="shared" si="9"/>
        <v>228514.17899936653</v>
      </c>
      <c r="K112" s="8">
        <f t="shared" si="10"/>
        <v>163224.41357097609</v>
      </c>
    </row>
    <row r="113" spans="1:11" x14ac:dyDescent="0.25">
      <c r="A113" t="str">
        <f t="shared" si="12"/>
        <v>T</v>
      </c>
      <c r="B113" t="s">
        <v>29</v>
      </c>
      <c r="C113">
        <v>2025</v>
      </c>
      <c r="D113">
        <f t="shared" si="13"/>
        <v>5</v>
      </c>
      <c r="E113" s="5">
        <v>349.12803934579415</v>
      </c>
      <c r="F113">
        <f t="shared" si="15"/>
        <v>320</v>
      </c>
      <c r="G113">
        <f t="shared" si="15"/>
        <v>161</v>
      </c>
      <c r="H113" s="1">
        <v>-0.03</v>
      </c>
      <c r="I113" t="str">
        <f t="shared" si="8"/>
        <v>Depois da campanha</v>
      </c>
      <c r="J113" s="8">
        <f t="shared" si="9"/>
        <v>111720.97259065413</v>
      </c>
      <c r="K113" s="8">
        <f t="shared" si="10"/>
        <v>55511.358255981271</v>
      </c>
    </row>
    <row r="114" spans="1:11" x14ac:dyDescent="0.25">
      <c r="A114" t="str">
        <f t="shared" si="12"/>
        <v>U</v>
      </c>
      <c r="B114" t="s">
        <v>30</v>
      </c>
      <c r="C114">
        <v>2025</v>
      </c>
      <c r="D114">
        <f t="shared" si="13"/>
        <v>5</v>
      </c>
      <c r="E114" s="5">
        <v>291.71837549371321</v>
      </c>
      <c r="F114">
        <f t="shared" si="15"/>
        <v>362</v>
      </c>
      <c r="G114">
        <f t="shared" si="15"/>
        <v>146</v>
      </c>
      <c r="H114" s="1">
        <v>-0.03</v>
      </c>
      <c r="I114" t="str">
        <f t="shared" si="8"/>
        <v>Depois da campanha</v>
      </c>
      <c r="J114" s="8">
        <f t="shared" si="9"/>
        <v>105602.05192872418</v>
      </c>
      <c r="K114" s="8">
        <f t="shared" si="10"/>
        <v>63011.169106642054</v>
      </c>
    </row>
    <row r="115" spans="1:11" x14ac:dyDescent="0.25">
      <c r="A115" t="str">
        <f t="shared" si="12"/>
        <v>V</v>
      </c>
      <c r="B115" t="s">
        <v>28</v>
      </c>
      <c r="C115">
        <v>2025</v>
      </c>
      <c r="D115">
        <f t="shared" si="13"/>
        <v>5</v>
      </c>
      <c r="E115" s="5">
        <v>303.1445379624264</v>
      </c>
      <c r="F115">
        <f t="shared" si="15"/>
        <v>316</v>
      </c>
      <c r="G115">
        <f t="shared" si="15"/>
        <v>182</v>
      </c>
      <c r="H115" s="1">
        <v>-0.03</v>
      </c>
      <c r="I115" t="str">
        <f t="shared" si="8"/>
        <v>Depois da campanha</v>
      </c>
      <c r="J115" s="8">
        <f t="shared" si="9"/>
        <v>95793.673996126745</v>
      </c>
      <c r="K115" s="8">
        <f t="shared" si="10"/>
        <v>40621.368086965136</v>
      </c>
    </row>
    <row r="116" spans="1:11" x14ac:dyDescent="0.25">
      <c r="A116" t="str">
        <f t="shared" si="12"/>
        <v>X</v>
      </c>
      <c r="B116" t="s">
        <v>29</v>
      </c>
      <c r="C116">
        <v>2025</v>
      </c>
      <c r="D116">
        <f t="shared" si="13"/>
        <v>5</v>
      </c>
      <c r="E116" s="5">
        <v>351.58004544917088</v>
      </c>
      <c r="F116">
        <f t="shared" si="15"/>
        <v>293</v>
      </c>
      <c r="G116">
        <f t="shared" si="15"/>
        <v>161</v>
      </c>
      <c r="H116" s="1">
        <v>-0.03</v>
      </c>
      <c r="I116" t="str">
        <f t="shared" si="8"/>
        <v>Depois da campanha</v>
      </c>
      <c r="J116" s="8">
        <f t="shared" si="9"/>
        <v>103012.95331660706</v>
      </c>
      <c r="K116" s="8">
        <f t="shared" si="10"/>
        <v>46408.565999290557</v>
      </c>
    </row>
    <row r="117" spans="1:11" x14ac:dyDescent="0.25">
      <c r="A117" t="str">
        <f t="shared" si="12"/>
        <v>A</v>
      </c>
      <c r="B117" t="s">
        <v>28</v>
      </c>
      <c r="C117">
        <v>2025</v>
      </c>
      <c r="D117">
        <f t="shared" si="13"/>
        <v>6</v>
      </c>
      <c r="E117" s="5">
        <v>759.40867662641426</v>
      </c>
      <c r="F117">
        <f t="shared" si="15"/>
        <v>304</v>
      </c>
      <c r="G117">
        <f t="shared" si="15"/>
        <v>165</v>
      </c>
      <c r="H117" s="1">
        <v>-0.03</v>
      </c>
      <c r="I117" t="str">
        <f t="shared" si="8"/>
        <v>Depois da campanha</v>
      </c>
      <c r="J117" s="8">
        <f t="shared" si="9"/>
        <v>230860.23769442993</v>
      </c>
      <c r="K117" s="8">
        <f t="shared" si="10"/>
        <v>105557.80605107159</v>
      </c>
    </row>
    <row r="118" spans="1:11" x14ac:dyDescent="0.25">
      <c r="A118" t="str">
        <f t="shared" si="12"/>
        <v>B</v>
      </c>
      <c r="B118" t="s">
        <v>29</v>
      </c>
      <c r="C118">
        <v>2025</v>
      </c>
      <c r="D118">
        <f t="shared" si="13"/>
        <v>6</v>
      </c>
      <c r="E118" s="5">
        <v>984.64241143962806</v>
      </c>
      <c r="F118">
        <f t="shared" si="15"/>
        <v>268</v>
      </c>
      <c r="G118">
        <f t="shared" si="15"/>
        <v>163</v>
      </c>
      <c r="H118" s="1">
        <v>-0.03</v>
      </c>
      <c r="I118" t="str">
        <f t="shared" si="8"/>
        <v>Depois da campanha</v>
      </c>
      <c r="J118" s="8">
        <f t="shared" si="9"/>
        <v>263884.16626582033</v>
      </c>
      <c r="K118" s="8">
        <f t="shared" si="10"/>
        <v>103387.45320116094</v>
      </c>
    </row>
    <row r="119" spans="1:11" x14ac:dyDescent="0.25">
      <c r="A119" t="str">
        <f t="shared" si="12"/>
        <v>C</v>
      </c>
      <c r="B119" t="s">
        <v>30</v>
      </c>
      <c r="C119">
        <v>2025</v>
      </c>
      <c r="D119">
        <f t="shared" si="13"/>
        <v>6</v>
      </c>
      <c r="E119" s="5">
        <v>581.04846789781811</v>
      </c>
      <c r="F119">
        <f t="shared" si="15"/>
        <v>322</v>
      </c>
      <c r="G119">
        <f t="shared" si="15"/>
        <v>193</v>
      </c>
      <c r="H119" s="1">
        <v>-0.03</v>
      </c>
      <c r="I119" t="str">
        <f t="shared" si="8"/>
        <v>Depois da campanha</v>
      </c>
      <c r="J119" s="8">
        <f t="shared" si="9"/>
        <v>187097.60666309742</v>
      </c>
      <c r="K119" s="8">
        <f t="shared" si="10"/>
        <v>74955.252358818543</v>
      </c>
    </row>
    <row r="120" spans="1:11" x14ac:dyDescent="0.25">
      <c r="A120" t="str">
        <f t="shared" si="12"/>
        <v>D</v>
      </c>
      <c r="B120" t="s">
        <v>28</v>
      </c>
      <c r="C120">
        <v>2025</v>
      </c>
      <c r="D120">
        <f t="shared" si="13"/>
        <v>6</v>
      </c>
      <c r="E120" s="5">
        <v>596.66756134917478</v>
      </c>
      <c r="F120">
        <f t="shared" si="15"/>
        <v>250</v>
      </c>
      <c r="G120">
        <f t="shared" si="15"/>
        <v>171</v>
      </c>
      <c r="H120" s="1">
        <v>-0.03</v>
      </c>
      <c r="I120" t="str">
        <f t="shared" si="8"/>
        <v>Depois da campanha</v>
      </c>
      <c r="J120" s="8">
        <f t="shared" si="9"/>
        <v>149166.89033729371</v>
      </c>
      <c r="K120" s="8">
        <f t="shared" si="10"/>
        <v>47136.737346584807</v>
      </c>
    </row>
    <row r="121" spans="1:11" x14ac:dyDescent="0.25">
      <c r="A121" t="str">
        <f t="shared" si="12"/>
        <v>E</v>
      </c>
      <c r="B121" t="s">
        <v>29</v>
      </c>
      <c r="C121">
        <v>2025</v>
      </c>
      <c r="D121">
        <f t="shared" si="13"/>
        <v>6</v>
      </c>
      <c r="E121" s="5">
        <v>721.65769389457523</v>
      </c>
      <c r="F121">
        <f t="shared" si="15"/>
        <v>321</v>
      </c>
      <c r="G121">
        <f t="shared" si="15"/>
        <v>192</v>
      </c>
      <c r="H121" s="1">
        <v>-0.03</v>
      </c>
      <c r="I121" t="str">
        <f t="shared" si="8"/>
        <v>Depois da campanha</v>
      </c>
      <c r="J121" s="8">
        <f t="shared" si="9"/>
        <v>231652.11974015864</v>
      </c>
      <c r="K121" s="8">
        <f t="shared" si="10"/>
        <v>93093.84251240021</v>
      </c>
    </row>
    <row r="122" spans="1:11" x14ac:dyDescent="0.25">
      <c r="A122" t="str">
        <f t="shared" si="12"/>
        <v>F</v>
      </c>
      <c r="B122" t="s">
        <v>30</v>
      </c>
      <c r="C122">
        <v>2025</v>
      </c>
      <c r="D122">
        <f t="shared" si="13"/>
        <v>6</v>
      </c>
      <c r="E122" s="5">
        <v>395.94194838516171</v>
      </c>
      <c r="F122">
        <f t="shared" ref="F122:G137" si="16">F99</f>
        <v>324</v>
      </c>
      <c r="G122">
        <f t="shared" si="16"/>
        <v>196</v>
      </c>
      <c r="H122" s="1">
        <v>-0.03</v>
      </c>
      <c r="I122" t="str">
        <f t="shared" si="8"/>
        <v>Depois da campanha</v>
      </c>
      <c r="J122" s="8">
        <f t="shared" si="9"/>
        <v>128285.19127679239</v>
      </c>
      <c r="K122" s="8">
        <f t="shared" si="10"/>
        <v>50680.569393300699</v>
      </c>
    </row>
    <row r="123" spans="1:11" x14ac:dyDescent="0.25">
      <c r="A123" t="str">
        <f t="shared" si="12"/>
        <v>G</v>
      </c>
      <c r="B123" t="s">
        <v>28</v>
      </c>
      <c r="C123">
        <v>2025</v>
      </c>
      <c r="D123">
        <f t="shared" si="13"/>
        <v>6</v>
      </c>
      <c r="E123" s="5">
        <v>200.3429456639457</v>
      </c>
      <c r="F123">
        <f t="shared" si="16"/>
        <v>322</v>
      </c>
      <c r="G123">
        <f t="shared" si="16"/>
        <v>174</v>
      </c>
      <c r="H123" s="1">
        <v>-0.03</v>
      </c>
      <c r="I123" t="str">
        <f t="shared" si="8"/>
        <v>Depois da campanha</v>
      </c>
      <c r="J123" s="8">
        <f t="shared" si="9"/>
        <v>64510.428503790514</v>
      </c>
      <c r="K123" s="8">
        <f t="shared" si="10"/>
        <v>29650.755958263962</v>
      </c>
    </row>
    <row r="124" spans="1:11" x14ac:dyDescent="0.25">
      <c r="A124" t="str">
        <f t="shared" si="12"/>
        <v>H</v>
      </c>
      <c r="B124" t="s">
        <v>29</v>
      </c>
      <c r="C124">
        <v>2025</v>
      </c>
      <c r="D124">
        <f t="shared" si="13"/>
        <v>6</v>
      </c>
      <c r="E124" s="5">
        <v>223.91645467310991</v>
      </c>
      <c r="F124">
        <f t="shared" si="16"/>
        <v>339</v>
      </c>
      <c r="G124">
        <f t="shared" si="16"/>
        <v>200</v>
      </c>
      <c r="H124" s="1">
        <v>-0.03</v>
      </c>
      <c r="I124" t="str">
        <f t="shared" si="8"/>
        <v>Depois da campanha</v>
      </c>
      <c r="J124" s="8">
        <f t="shared" si="9"/>
        <v>75907.678134184258</v>
      </c>
      <c r="K124" s="8">
        <f t="shared" si="10"/>
        <v>31124.387199562276</v>
      </c>
    </row>
    <row r="125" spans="1:11" x14ac:dyDescent="0.25">
      <c r="A125" t="str">
        <f t="shared" si="12"/>
        <v>I</v>
      </c>
      <c r="B125" t="s">
        <v>30</v>
      </c>
      <c r="C125">
        <v>2025</v>
      </c>
      <c r="D125">
        <f t="shared" si="13"/>
        <v>6</v>
      </c>
      <c r="E125" s="5">
        <v>159.46340823716653</v>
      </c>
      <c r="F125">
        <f t="shared" si="16"/>
        <v>389</v>
      </c>
      <c r="G125">
        <f t="shared" si="16"/>
        <v>149</v>
      </c>
      <c r="H125" s="1">
        <v>-0.03</v>
      </c>
      <c r="I125" t="str">
        <f t="shared" si="8"/>
        <v>Depois da campanha</v>
      </c>
      <c r="J125" s="8">
        <f t="shared" si="9"/>
        <v>62031.265804257782</v>
      </c>
      <c r="K125" s="8">
        <f t="shared" si="10"/>
        <v>38271.217976919965</v>
      </c>
    </row>
    <row r="126" spans="1:11" x14ac:dyDescent="0.25">
      <c r="A126" t="str">
        <f t="shared" si="12"/>
        <v>J</v>
      </c>
      <c r="B126" t="s">
        <v>28</v>
      </c>
      <c r="C126">
        <v>2025</v>
      </c>
      <c r="D126">
        <f t="shared" si="13"/>
        <v>6</v>
      </c>
      <c r="E126" s="5">
        <v>295.61273002139609</v>
      </c>
      <c r="F126">
        <f t="shared" si="16"/>
        <v>280</v>
      </c>
      <c r="G126">
        <f t="shared" si="16"/>
        <v>124</v>
      </c>
      <c r="H126" s="1">
        <v>-0.03</v>
      </c>
      <c r="I126" t="str">
        <f t="shared" si="8"/>
        <v>Depois da campanha</v>
      </c>
      <c r="J126" s="8">
        <f t="shared" si="9"/>
        <v>82771.56440599091</v>
      </c>
      <c r="K126" s="8">
        <f t="shared" si="10"/>
        <v>46115.585883337793</v>
      </c>
    </row>
    <row r="127" spans="1:11" x14ac:dyDescent="0.25">
      <c r="A127" t="str">
        <f t="shared" si="12"/>
        <v>K</v>
      </c>
      <c r="B127" t="s">
        <v>29</v>
      </c>
      <c r="C127">
        <v>2025</v>
      </c>
      <c r="D127">
        <f t="shared" si="13"/>
        <v>6</v>
      </c>
      <c r="E127" s="5">
        <v>119.8308093284531</v>
      </c>
      <c r="F127">
        <f t="shared" si="16"/>
        <v>339</v>
      </c>
      <c r="G127">
        <f t="shared" si="16"/>
        <v>155</v>
      </c>
      <c r="H127" s="1">
        <v>-0.03</v>
      </c>
      <c r="I127" t="str">
        <f t="shared" si="8"/>
        <v>Depois da campanha</v>
      </c>
      <c r="J127" s="8">
        <f t="shared" si="9"/>
        <v>40622.6443623456</v>
      </c>
      <c r="K127" s="8">
        <f t="shared" si="10"/>
        <v>22048.868916435371</v>
      </c>
    </row>
    <row r="128" spans="1:11" x14ac:dyDescent="0.25">
      <c r="A128" t="str">
        <f t="shared" si="12"/>
        <v>L</v>
      </c>
      <c r="B128" t="s">
        <v>30</v>
      </c>
      <c r="C128">
        <v>2025</v>
      </c>
      <c r="D128">
        <f t="shared" si="13"/>
        <v>6</v>
      </c>
      <c r="E128" s="5">
        <v>356.29920087285774</v>
      </c>
      <c r="F128">
        <f t="shared" si="16"/>
        <v>379</v>
      </c>
      <c r="G128">
        <f t="shared" si="16"/>
        <v>165</v>
      </c>
      <c r="H128" s="1">
        <v>-0.03</v>
      </c>
      <c r="I128" t="str">
        <f t="shared" si="8"/>
        <v>Depois da campanha</v>
      </c>
      <c r="J128" s="8">
        <f t="shared" si="9"/>
        <v>135037.39713081307</v>
      </c>
      <c r="K128" s="8">
        <f t="shared" si="10"/>
        <v>76248.028986791556</v>
      </c>
    </row>
    <row r="129" spans="1:11" x14ac:dyDescent="0.25">
      <c r="A129" t="str">
        <f t="shared" si="12"/>
        <v>M</v>
      </c>
      <c r="B129" t="s">
        <v>28</v>
      </c>
      <c r="C129">
        <v>2025</v>
      </c>
      <c r="D129">
        <f t="shared" si="13"/>
        <v>6</v>
      </c>
      <c r="E129" s="5">
        <v>719.56184294890932</v>
      </c>
      <c r="F129">
        <f t="shared" si="16"/>
        <v>276</v>
      </c>
      <c r="G129">
        <f t="shared" si="16"/>
        <v>195</v>
      </c>
      <c r="H129" s="1">
        <v>-0.03</v>
      </c>
      <c r="I129" t="str">
        <f t="shared" si="8"/>
        <v>Depois da campanha</v>
      </c>
      <c r="J129" s="8">
        <f t="shared" si="9"/>
        <v>198599.06865389898</v>
      </c>
      <c r="K129" s="8">
        <f t="shared" si="10"/>
        <v>58284.509278861653</v>
      </c>
    </row>
    <row r="130" spans="1:11" x14ac:dyDescent="0.25">
      <c r="A130" t="str">
        <f t="shared" si="12"/>
        <v>N</v>
      </c>
      <c r="B130" t="s">
        <v>29</v>
      </c>
      <c r="C130">
        <v>2025</v>
      </c>
      <c r="D130">
        <f t="shared" si="13"/>
        <v>6</v>
      </c>
      <c r="E130" s="5">
        <v>126.15578548662855</v>
      </c>
      <c r="F130">
        <f t="shared" si="16"/>
        <v>271</v>
      </c>
      <c r="G130">
        <f t="shared" si="16"/>
        <v>152</v>
      </c>
      <c r="H130" s="1">
        <v>-0.03</v>
      </c>
      <c r="I130" t="str">
        <f t="shared" si="8"/>
        <v>Depois da campanha</v>
      </c>
      <c r="J130" s="8">
        <f t="shared" si="9"/>
        <v>34188.217866876337</v>
      </c>
      <c r="K130" s="8">
        <f t="shared" si="10"/>
        <v>15012.538472908796</v>
      </c>
    </row>
    <row r="131" spans="1:11" x14ac:dyDescent="0.25">
      <c r="A131" t="str">
        <f t="shared" si="12"/>
        <v>O</v>
      </c>
      <c r="B131" t="s">
        <v>30</v>
      </c>
      <c r="C131">
        <v>2025</v>
      </c>
      <c r="D131">
        <f t="shared" si="13"/>
        <v>6</v>
      </c>
      <c r="E131" s="5">
        <v>1079.60799250676</v>
      </c>
      <c r="F131">
        <f t="shared" si="16"/>
        <v>381</v>
      </c>
      <c r="G131">
        <f t="shared" si="16"/>
        <v>179</v>
      </c>
      <c r="H131" s="1">
        <v>-0.03</v>
      </c>
      <c r="I131" t="str">
        <f t="shared" ref="I131:I139" si="17">IF(D131&lt;=3, "Antes da campanha", "Depois da campanha")</f>
        <v>Depois da campanha</v>
      </c>
      <c r="J131" s="8">
        <f t="shared" ref="J131:J139" si="18">E131*F131</f>
        <v>411330.64514507557</v>
      </c>
      <c r="K131" s="8">
        <f t="shared" ref="K131:K139" si="19">(F131-G131)*E131</f>
        <v>218080.8144863655</v>
      </c>
    </row>
    <row r="132" spans="1:11" x14ac:dyDescent="0.25">
      <c r="A132" t="str">
        <f t="shared" si="12"/>
        <v>P</v>
      </c>
      <c r="B132" t="s">
        <v>28</v>
      </c>
      <c r="C132">
        <v>2025</v>
      </c>
      <c r="D132">
        <f t="shared" si="13"/>
        <v>6</v>
      </c>
      <c r="E132" s="5">
        <v>79.02474046871852</v>
      </c>
      <c r="F132">
        <f t="shared" si="16"/>
        <v>300</v>
      </c>
      <c r="G132">
        <f t="shared" si="16"/>
        <v>155</v>
      </c>
      <c r="H132" s="1">
        <v>-0.03</v>
      </c>
      <c r="I132" t="str">
        <f t="shared" si="17"/>
        <v>Depois da campanha</v>
      </c>
      <c r="J132" s="8">
        <f t="shared" si="18"/>
        <v>23707.422140615556</v>
      </c>
      <c r="K132" s="8">
        <f t="shared" si="19"/>
        <v>11458.587367964185</v>
      </c>
    </row>
    <row r="133" spans="1:11" x14ac:dyDescent="0.25">
      <c r="A133" t="str">
        <f t="shared" si="12"/>
        <v>Q</v>
      </c>
      <c r="B133" t="s">
        <v>29</v>
      </c>
      <c r="C133">
        <v>2025</v>
      </c>
      <c r="D133">
        <f t="shared" si="13"/>
        <v>6</v>
      </c>
      <c r="E133" s="5">
        <v>926.81629748031355</v>
      </c>
      <c r="F133">
        <f t="shared" si="16"/>
        <v>323</v>
      </c>
      <c r="G133">
        <f t="shared" si="16"/>
        <v>151</v>
      </c>
      <c r="H133" s="1">
        <v>-0.03</v>
      </c>
      <c r="I133" t="str">
        <f t="shared" si="17"/>
        <v>Depois da campanha</v>
      </c>
      <c r="J133" s="8">
        <f t="shared" si="18"/>
        <v>299361.66408614127</v>
      </c>
      <c r="K133" s="8">
        <f t="shared" si="19"/>
        <v>159412.40316661392</v>
      </c>
    </row>
    <row r="134" spans="1:11" x14ac:dyDescent="0.25">
      <c r="A134" t="str">
        <f t="shared" si="12"/>
        <v>R</v>
      </c>
      <c r="B134" t="s">
        <v>30</v>
      </c>
      <c r="C134">
        <v>2025</v>
      </c>
      <c r="D134">
        <f t="shared" si="13"/>
        <v>6</v>
      </c>
      <c r="E134" s="5">
        <v>858.97529638826552</v>
      </c>
      <c r="F134">
        <f t="shared" si="16"/>
        <v>348</v>
      </c>
      <c r="G134">
        <f t="shared" si="16"/>
        <v>163</v>
      </c>
      <c r="H134" s="1">
        <v>-0.03</v>
      </c>
      <c r="I134" t="str">
        <f t="shared" si="17"/>
        <v>Depois da campanha</v>
      </c>
      <c r="J134" s="8">
        <f t="shared" si="18"/>
        <v>298923.40314311639</v>
      </c>
      <c r="K134" s="8">
        <f t="shared" si="19"/>
        <v>158910.42983182913</v>
      </c>
    </row>
    <row r="135" spans="1:11" x14ac:dyDescent="0.25">
      <c r="A135" t="str">
        <f t="shared" si="12"/>
        <v>S</v>
      </c>
      <c r="B135" t="s">
        <v>28</v>
      </c>
      <c r="C135">
        <v>2025</v>
      </c>
      <c r="D135">
        <f t="shared" si="13"/>
        <v>6</v>
      </c>
      <c r="E135" s="5">
        <v>653.29968485920233</v>
      </c>
      <c r="F135">
        <f t="shared" si="16"/>
        <v>392</v>
      </c>
      <c r="G135">
        <f t="shared" si="16"/>
        <v>112</v>
      </c>
      <c r="H135" s="1">
        <v>-0.03</v>
      </c>
      <c r="I135" t="str">
        <f t="shared" si="17"/>
        <v>Depois da campanha</v>
      </c>
      <c r="J135" s="8">
        <f t="shared" si="18"/>
        <v>256093.47646480732</v>
      </c>
      <c r="K135" s="8">
        <f t="shared" si="19"/>
        <v>182923.91176057665</v>
      </c>
    </row>
    <row r="136" spans="1:11" x14ac:dyDescent="0.25">
      <c r="A136" t="str">
        <f t="shared" si="12"/>
        <v>T</v>
      </c>
      <c r="B136" t="s">
        <v>29</v>
      </c>
      <c r="C136">
        <v>2025</v>
      </c>
      <c r="D136">
        <f t="shared" si="13"/>
        <v>6</v>
      </c>
      <c r="E136" s="5">
        <v>476.76624727866511</v>
      </c>
      <c r="F136">
        <f t="shared" si="16"/>
        <v>320</v>
      </c>
      <c r="G136">
        <f t="shared" si="16"/>
        <v>161</v>
      </c>
      <c r="H136" s="1">
        <v>-0.03</v>
      </c>
      <c r="I136" t="str">
        <f t="shared" si="17"/>
        <v>Depois da campanha</v>
      </c>
      <c r="J136" s="8">
        <f t="shared" si="18"/>
        <v>152565.19912917283</v>
      </c>
      <c r="K136" s="8">
        <f t="shared" si="19"/>
        <v>75805.833317307755</v>
      </c>
    </row>
    <row r="137" spans="1:11" x14ac:dyDescent="0.25">
      <c r="A137" t="str">
        <f t="shared" si="12"/>
        <v>U</v>
      </c>
      <c r="B137" t="s">
        <v>30</v>
      </c>
      <c r="C137">
        <v>2025</v>
      </c>
      <c r="D137">
        <f t="shared" si="13"/>
        <v>6</v>
      </c>
      <c r="E137" s="5">
        <v>288.96631534754607</v>
      </c>
      <c r="F137">
        <f t="shared" si="16"/>
        <v>362</v>
      </c>
      <c r="G137">
        <f t="shared" si="16"/>
        <v>146</v>
      </c>
      <c r="H137" s="1">
        <v>-0.03</v>
      </c>
      <c r="I137" t="str">
        <f t="shared" si="17"/>
        <v>Depois da campanha</v>
      </c>
      <c r="J137" s="8">
        <f t="shared" si="18"/>
        <v>104605.80615581168</v>
      </c>
      <c r="K137" s="8">
        <f t="shared" si="19"/>
        <v>62416.724115069948</v>
      </c>
    </row>
    <row r="138" spans="1:11" x14ac:dyDescent="0.25">
      <c r="A138" t="str">
        <f t="shared" si="12"/>
        <v>V</v>
      </c>
      <c r="B138" t="s">
        <v>28</v>
      </c>
      <c r="C138">
        <v>2025</v>
      </c>
      <c r="D138">
        <f t="shared" si="13"/>
        <v>6</v>
      </c>
      <c r="E138" s="5">
        <v>270.84225113036462</v>
      </c>
      <c r="F138">
        <f t="shared" ref="F138:G139" si="20">F115</f>
        <v>316</v>
      </c>
      <c r="G138">
        <f t="shared" si="20"/>
        <v>182</v>
      </c>
      <c r="H138" s="1">
        <v>-0.03</v>
      </c>
      <c r="I138" t="str">
        <f t="shared" si="17"/>
        <v>Depois da campanha</v>
      </c>
      <c r="J138" s="8">
        <f t="shared" si="18"/>
        <v>85586.151357195224</v>
      </c>
      <c r="K138" s="8">
        <f t="shared" si="19"/>
        <v>36292.861651468862</v>
      </c>
    </row>
    <row r="139" spans="1:11" x14ac:dyDescent="0.25">
      <c r="A139" t="str">
        <f t="shared" si="12"/>
        <v>X</v>
      </c>
      <c r="B139" t="s">
        <v>29</v>
      </c>
      <c r="C139">
        <v>2025</v>
      </c>
      <c r="D139">
        <f t="shared" si="13"/>
        <v>6</v>
      </c>
      <c r="E139" s="5">
        <v>468.7733939322278</v>
      </c>
      <c r="F139">
        <f t="shared" si="20"/>
        <v>293</v>
      </c>
      <c r="G139">
        <f t="shared" si="20"/>
        <v>161</v>
      </c>
      <c r="H139" s="1">
        <v>-0.03</v>
      </c>
      <c r="I139" t="str">
        <f t="shared" si="17"/>
        <v>Depois da campanha</v>
      </c>
      <c r="J139" s="8">
        <f t="shared" si="18"/>
        <v>137350.60442214276</v>
      </c>
      <c r="K139" s="8">
        <f t="shared" si="19"/>
        <v>61878.087999054071</v>
      </c>
    </row>
  </sheetData>
  <pageMargins left="0.511811024" right="0.511811024" top="0.78740157499999996" bottom="0.78740157499999996" header="0.31496062000000002" footer="0.31496062000000002"/>
  <headerFooter>
    <oddFooter>&amp;R_x000D_&amp;1#&amp;"Aptos"&amp;10&amp;K000000 # Conteúdo protegido, não compartilhar sem autorização.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C2C9-EA16-400A-AAF4-396CFB52042F}">
  <dimension ref="A1:P36"/>
  <sheetViews>
    <sheetView showGridLines="0" tabSelected="1" zoomScaleNormal="100" workbookViewId="0">
      <selection activeCell="A10" sqref="A10"/>
    </sheetView>
  </sheetViews>
  <sheetFormatPr defaultRowHeight="15" x14ac:dyDescent="0.25"/>
  <cols>
    <col min="1" max="1" width="30" bestFit="1" customWidth="1"/>
    <col min="2" max="2" width="29.5703125" customWidth="1"/>
    <col min="3" max="3" width="20.5703125" customWidth="1"/>
    <col min="4" max="4" width="1.5703125" customWidth="1"/>
    <col min="5" max="5" width="0.85546875" customWidth="1"/>
    <col min="6" max="6" width="11.5703125" customWidth="1"/>
    <col min="7" max="7" width="12.7109375" bestFit="1" customWidth="1"/>
    <col min="8" max="8" width="29.7109375" bestFit="1" customWidth="1"/>
    <col min="9" max="9" width="20" customWidth="1"/>
    <col min="10" max="10" width="19.28515625" bestFit="1" customWidth="1"/>
    <col min="16" max="16" width="9.140625" customWidth="1"/>
  </cols>
  <sheetData>
    <row r="1" spans="1:16" ht="51" customHeight="1" x14ac:dyDescent="0.25">
      <c r="A1" s="20" t="s">
        <v>47</v>
      </c>
      <c r="B1" s="12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3" spans="1:16" ht="15.75" x14ac:dyDescent="0.25">
      <c r="A3" s="17" t="s">
        <v>38</v>
      </c>
      <c r="B3" s="17" t="s">
        <v>39</v>
      </c>
      <c r="C3" s="17"/>
      <c r="F3" s="17" t="s">
        <v>39</v>
      </c>
      <c r="G3" s="17" t="s">
        <v>27</v>
      </c>
      <c r="H3" s="17" t="s">
        <v>37</v>
      </c>
      <c r="I3" s="17" t="s">
        <v>44</v>
      </c>
    </row>
    <row r="4" spans="1:16" ht="15.75" x14ac:dyDescent="0.25">
      <c r="A4" s="17" t="s">
        <v>27</v>
      </c>
      <c r="B4" s="17" t="s">
        <v>45</v>
      </c>
      <c r="C4" s="17" t="s">
        <v>46</v>
      </c>
      <c r="F4" s="14" t="s">
        <v>45</v>
      </c>
      <c r="G4" s="14"/>
      <c r="H4" s="16">
        <v>31200.413907178634</v>
      </c>
      <c r="I4" s="15">
        <v>4832647.8485006671</v>
      </c>
    </row>
    <row r="5" spans="1:16" ht="15.75" x14ac:dyDescent="0.25">
      <c r="A5" s="14" t="s">
        <v>28</v>
      </c>
      <c r="B5" s="19">
        <v>418.44016069959054</v>
      </c>
      <c r="C5" s="19">
        <v>452.02893917040865</v>
      </c>
      <c r="F5" s="14"/>
      <c r="G5" s="14" t="s">
        <v>28</v>
      </c>
      <c r="H5" s="16">
        <v>10042.563856790173</v>
      </c>
      <c r="I5" s="15">
        <v>1403639.2624665275</v>
      </c>
    </row>
    <row r="6" spans="1:16" ht="15.75" x14ac:dyDescent="0.25">
      <c r="A6" s="14" t="s">
        <v>30</v>
      </c>
      <c r="B6" s="19">
        <v>527.52342133699801</v>
      </c>
      <c r="C6" s="19">
        <v>535.34441012626553</v>
      </c>
      <c r="F6" s="14"/>
      <c r="G6" s="14" t="s">
        <v>29</v>
      </c>
      <c r="H6" s="16">
        <v>10079.858202311501</v>
      </c>
      <c r="I6" s="15">
        <v>1407707.1326660519</v>
      </c>
    </row>
    <row r="7" spans="1:16" ht="15.75" x14ac:dyDescent="0.25">
      <c r="A7" s="14" t="s">
        <v>29</v>
      </c>
      <c r="B7" s="19">
        <v>419.99409176297922</v>
      </c>
      <c r="C7" s="19">
        <v>463.06560458459779</v>
      </c>
      <c r="F7" s="14"/>
      <c r="G7" s="14" t="s">
        <v>30</v>
      </c>
      <c r="H7" s="16">
        <v>11077.991848076957</v>
      </c>
      <c r="I7" s="15">
        <v>2021301.4533680882</v>
      </c>
    </row>
    <row r="8" spans="1:16" ht="15.75" x14ac:dyDescent="0.25">
      <c r="B8" s="14"/>
      <c r="C8" s="14"/>
      <c r="D8" s="14"/>
      <c r="F8" s="14" t="s">
        <v>46</v>
      </c>
      <c r="G8" s="14"/>
      <c r="H8" s="16">
        <v>33204.501662771727</v>
      </c>
      <c r="I8" s="15">
        <v>5136753.8101288741</v>
      </c>
    </row>
    <row r="9" spans="1:16" ht="15.75" x14ac:dyDescent="0.25">
      <c r="B9" s="14"/>
      <c r="C9" s="14"/>
      <c r="D9" s="14"/>
      <c r="F9" s="14"/>
      <c r="G9" s="14" t="s">
        <v>28</v>
      </c>
      <c r="H9" s="16">
        <v>10848.694540089808</v>
      </c>
      <c r="I9" s="15">
        <v>1537113.919635264</v>
      </c>
    </row>
    <row r="10" spans="1:16" ht="15.75" x14ac:dyDescent="0.25">
      <c r="A10" s="18" t="s">
        <v>49</v>
      </c>
      <c r="B10" s="18" t="s">
        <v>39</v>
      </c>
      <c r="C10" s="18"/>
      <c r="F10" s="14"/>
      <c r="G10" s="14" t="s">
        <v>29</v>
      </c>
      <c r="H10" s="16">
        <v>11113.574510030347</v>
      </c>
      <c r="I10" s="15">
        <v>1547010.8482886425</v>
      </c>
    </row>
    <row r="11" spans="1:16" ht="15.75" x14ac:dyDescent="0.25">
      <c r="A11" s="18" t="s">
        <v>27</v>
      </c>
      <c r="B11" s="18" t="s">
        <v>45</v>
      </c>
      <c r="C11" s="18" t="s">
        <v>46</v>
      </c>
      <c r="F11" s="14"/>
      <c r="G11" s="14" t="s">
        <v>30</v>
      </c>
      <c r="H11" s="16">
        <v>11242.232612651576</v>
      </c>
      <c r="I11" s="15">
        <v>2052629.0422049677</v>
      </c>
    </row>
    <row r="12" spans="1:16" ht="15.75" x14ac:dyDescent="0.25">
      <c r="A12" s="14" t="s">
        <v>28</v>
      </c>
      <c r="B12" s="15">
        <v>301.8789400520547</v>
      </c>
      <c r="C12" s="15">
        <v>303.55816639901593</v>
      </c>
    </row>
    <row r="13" spans="1:16" ht="15.75" x14ac:dyDescent="0.25">
      <c r="A13" s="14" t="s">
        <v>30</v>
      </c>
      <c r="B13" s="15">
        <v>356.48234398529257</v>
      </c>
      <c r="C13" s="15">
        <v>356.78710953480595</v>
      </c>
    </row>
    <row r="14" spans="1:16" ht="15.75" x14ac:dyDescent="0.25">
      <c r="A14" s="14" t="s">
        <v>29</v>
      </c>
      <c r="B14" s="15">
        <v>306.59862073283659</v>
      </c>
      <c r="C14" s="15">
        <v>305.92510630730675</v>
      </c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2169-67B6-4A96-968F-79F211DD0E11}">
  <dimension ref="A1:I56"/>
  <sheetViews>
    <sheetView workbookViewId="0">
      <selection activeCell="G23" sqref="G23:I27"/>
    </sheetView>
  </sheetViews>
  <sheetFormatPr defaultRowHeight="15" x14ac:dyDescent="0.25"/>
  <cols>
    <col min="1" max="1" width="19.28515625" bestFit="1" customWidth="1"/>
    <col min="2" max="2" width="20.140625" bestFit="1" customWidth="1"/>
    <col min="3" max="3" width="20.28515625" bestFit="1" customWidth="1"/>
    <col min="4" max="4" width="18.42578125" bestFit="1" customWidth="1"/>
    <col min="5" max="5" width="19.28515625" bestFit="1" customWidth="1"/>
    <col min="6" max="6" width="20.140625" bestFit="1" customWidth="1"/>
    <col min="7" max="7" width="19.28515625" bestFit="1" customWidth="1"/>
    <col min="8" max="8" width="20.140625" bestFit="1" customWidth="1"/>
    <col min="9" max="10" width="19.85546875" bestFit="1" customWidth="1"/>
    <col min="11" max="11" width="20.28515625" bestFit="1" customWidth="1"/>
    <col min="12" max="12" width="19.28515625" bestFit="1" customWidth="1"/>
    <col min="16" max="16" width="18.42578125" bestFit="1" customWidth="1"/>
    <col min="17" max="18" width="20.85546875" bestFit="1" customWidth="1"/>
  </cols>
  <sheetData>
    <row r="1" spans="1:6" x14ac:dyDescent="0.25">
      <c r="A1" s="6" t="s">
        <v>38</v>
      </c>
      <c r="B1" s="6" t="s">
        <v>39</v>
      </c>
      <c r="E1" s="6" t="s">
        <v>34</v>
      </c>
      <c r="F1" t="s">
        <v>42</v>
      </c>
    </row>
    <row r="2" spans="1:6" x14ac:dyDescent="0.25">
      <c r="A2" s="6" t="s">
        <v>27</v>
      </c>
      <c r="B2" t="s">
        <v>45</v>
      </c>
      <c r="C2" t="s">
        <v>46</v>
      </c>
      <c r="E2" s="7" t="s">
        <v>21</v>
      </c>
      <c r="F2" s="9">
        <v>1327746.1779790779</v>
      </c>
    </row>
    <row r="3" spans="1:6" x14ac:dyDescent="0.25">
      <c r="A3" t="s">
        <v>28</v>
      </c>
      <c r="B3" s="9">
        <v>418.44016069959054</v>
      </c>
      <c r="C3" s="9">
        <v>452.02893917040865</v>
      </c>
      <c r="E3" s="7" t="s">
        <v>7</v>
      </c>
      <c r="F3" s="9">
        <v>1338184.5751980036</v>
      </c>
    </row>
    <row r="4" spans="1:6" x14ac:dyDescent="0.25">
      <c r="A4" t="s">
        <v>30</v>
      </c>
      <c r="B4" s="9">
        <v>527.52342133699801</v>
      </c>
      <c r="C4" s="9">
        <v>535.34441012626553</v>
      </c>
      <c r="E4" s="7" t="s">
        <v>19</v>
      </c>
      <c r="F4" s="9">
        <v>1599154.1884943447</v>
      </c>
    </row>
    <row r="5" spans="1:6" x14ac:dyDescent="0.25">
      <c r="A5" t="s">
        <v>29</v>
      </c>
      <c r="B5" s="9">
        <v>419.99409176297922</v>
      </c>
      <c r="C5" s="9">
        <v>463.06560458459779</v>
      </c>
      <c r="E5" s="7" t="s">
        <v>20</v>
      </c>
      <c r="F5" s="9">
        <v>1730306.6220399621</v>
      </c>
    </row>
    <row r="6" spans="1:6" x14ac:dyDescent="0.25">
      <c r="E6" s="7" t="s">
        <v>17</v>
      </c>
      <c r="F6" s="9">
        <v>2323842.3627426922</v>
      </c>
    </row>
    <row r="7" spans="1:6" x14ac:dyDescent="0.25">
      <c r="A7" s="6" t="s">
        <v>43</v>
      </c>
      <c r="B7" s="6" t="s">
        <v>39</v>
      </c>
      <c r="E7" s="7" t="s">
        <v>35</v>
      </c>
      <c r="F7" s="9">
        <v>8319233.9264540803</v>
      </c>
    </row>
    <row r="8" spans="1:6" x14ac:dyDescent="0.25">
      <c r="A8" s="6" t="s">
        <v>27</v>
      </c>
      <c r="B8" t="s">
        <v>45</v>
      </c>
      <c r="C8" t="s">
        <v>46</v>
      </c>
    </row>
    <row r="9" spans="1:6" x14ac:dyDescent="0.25">
      <c r="A9" t="s">
        <v>28</v>
      </c>
      <c r="B9" s="9">
        <v>301.8789400520547</v>
      </c>
      <c r="C9" s="9">
        <v>303.55816639901593</v>
      </c>
    </row>
    <row r="10" spans="1:6" x14ac:dyDescent="0.25">
      <c r="A10" t="s">
        <v>30</v>
      </c>
      <c r="B10" s="9">
        <v>356.48234398529257</v>
      </c>
      <c r="C10" s="9">
        <v>356.78710953480595</v>
      </c>
    </row>
    <row r="11" spans="1:6" x14ac:dyDescent="0.25">
      <c r="A11" t="s">
        <v>29</v>
      </c>
      <c r="B11" s="9">
        <v>306.59862073283659</v>
      </c>
      <c r="C11" s="9">
        <v>305.92510630730675</v>
      </c>
    </row>
    <row r="13" spans="1:6" x14ac:dyDescent="0.25">
      <c r="B13" s="6" t="s">
        <v>36</v>
      </c>
    </row>
    <row r="14" spans="1:6" x14ac:dyDescent="0.25">
      <c r="B14" t="s">
        <v>45</v>
      </c>
      <c r="D14" t="s">
        <v>46</v>
      </c>
    </row>
    <row r="15" spans="1:6" x14ac:dyDescent="0.25">
      <c r="A15" s="6" t="s">
        <v>34</v>
      </c>
      <c r="B15" t="s">
        <v>44</v>
      </c>
      <c r="C15" t="s">
        <v>48</v>
      </c>
      <c r="D15" t="s">
        <v>44</v>
      </c>
      <c r="E15" t="s">
        <v>48</v>
      </c>
    </row>
    <row r="16" spans="1:6" x14ac:dyDescent="0.25">
      <c r="A16" s="7" t="s">
        <v>28</v>
      </c>
      <c r="B16" s="9">
        <v>1403639.2624665275</v>
      </c>
      <c r="C16" s="13"/>
      <c r="D16" s="9">
        <v>1537113.919635264</v>
      </c>
      <c r="E16" s="13">
        <v>9.5091852114616529E-2</v>
      </c>
    </row>
    <row r="17" spans="1:9" x14ac:dyDescent="0.25">
      <c r="A17" s="7" t="s">
        <v>29</v>
      </c>
      <c r="B17" s="9">
        <v>1407707.1326660519</v>
      </c>
      <c r="C17" s="13"/>
      <c r="D17" s="9">
        <v>1547010.8482886425</v>
      </c>
      <c r="E17" s="13">
        <v>9.8957881501078829E-2</v>
      </c>
    </row>
    <row r="18" spans="1:9" x14ac:dyDescent="0.25">
      <c r="A18" s="7" t="s">
        <v>30</v>
      </c>
      <c r="B18" s="9">
        <v>2021301.4533680882</v>
      </c>
      <c r="C18" s="13"/>
      <c r="D18" s="9">
        <v>2052629.0422049677</v>
      </c>
      <c r="E18" s="13">
        <v>1.5498721768926849E-2</v>
      </c>
    </row>
    <row r="23" spans="1:9" x14ac:dyDescent="0.25">
      <c r="A23" s="6" t="s">
        <v>44</v>
      </c>
      <c r="B23" s="6" t="s">
        <v>36</v>
      </c>
      <c r="D23" s="6" t="s">
        <v>34</v>
      </c>
      <c r="E23" t="s">
        <v>44</v>
      </c>
      <c r="G23" s="6" t="s">
        <v>44</v>
      </c>
      <c r="H23" s="6" t="s">
        <v>36</v>
      </c>
    </row>
    <row r="24" spans="1:9" x14ac:dyDescent="0.25">
      <c r="A24" s="6" t="s">
        <v>34</v>
      </c>
      <c r="B24" t="s">
        <v>46</v>
      </c>
      <c r="D24" s="7">
        <v>1</v>
      </c>
      <c r="E24" s="9">
        <v>1591711.8788653966</v>
      </c>
      <c r="G24" s="6" t="s">
        <v>34</v>
      </c>
      <c r="H24" t="s">
        <v>45</v>
      </c>
      <c r="I24" t="s">
        <v>46</v>
      </c>
    </row>
    <row r="25" spans="1:9" x14ac:dyDescent="0.25">
      <c r="A25" s="7" t="s">
        <v>3</v>
      </c>
      <c r="B25" s="9">
        <v>298273.43361220229</v>
      </c>
      <c r="D25" s="7">
        <v>2</v>
      </c>
      <c r="E25" s="9">
        <v>1618512.7912961955</v>
      </c>
      <c r="G25" s="7" t="s">
        <v>30</v>
      </c>
      <c r="H25" s="9">
        <v>2021301.4533680882</v>
      </c>
      <c r="I25" s="9">
        <v>2052629.0422049677</v>
      </c>
    </row>
    <row r="26" spans="1:9" x14ac:dyDescent="0.25">
      <c r="A26" s="7" t="s">
        <v>19</v>
      </c>
      <c r="B26" s="9">
        <v>442812.231018372</v>
      </c>
      <c r="D26" s="7">
        <v>3</v>
      </c>
      <c r="E26" s="9">
        <v>1622423.1783390748</v>
      </c>
      <c r="G26" s="7" t="s">
        <v>29</v>
      </c>
      <c r="H26" s="9">
        <v>1407707.1326660519</v>
      </c>
      <c r="I26" s="9">
        <v>1547010.8482886425</v>
      </c>
    </row>
    <row r="27" spans="1:9" x14ac:dyDescent="0.25">
      <c r="A27" s="7" t="s">
        <v>20</v>
      </c>
      <c r="B27" s="9">
        <v>456867.48576650873</v>
      </c>
      <c r="D27" s="7">
        <v>4</v>
      </c>
      <c r="E27" s="9">
        <v>1713762.8577913835</v>
      </c>
      <c r="G27" s="7" t="s">
        <v>28</v>
      </c>
      <c r="H27" s="9">
        <v>1403639.2624665275</v>
      </c>
      <c r="I27" s="9">
        <v>1537113.919635264</v>
      </c>
    </row>
    <row r="28" spans="1:9" x14ac:dyDescent="0.25">
      <c r="A28" s="7" t="s">
        <v>21</v>
      </c>
      <c r="B28" s="9">
        <v>519222.4879973291</v>
      </c>
      <c r="D28" s="7">
        <v>5</v>
      </c>
      <c r="E28" s="9">
        <v>1664243.7451048219</v>
      </c>
    </row>
    <row r="29" spans="1:9" x14ac:dyDescent="0.25">
      <c r="A29" s="7" t="s">
        <v>17</v>
      </c>
      <c r="B29" s="9">
        <v>639330.9347762682</v>
      </c>
      <c r="D29" s="7">
        <v>6</v>
      </c>
      <c r="E29" s="9">
        <v>1758747.2072326681</v>
      </c>
    </row>
    <row r="48" spans="6:8" x14ac:dyDescent="0.25">
      <c r="F48" s="6" t="s">
        <v>39</v>
      </c>
      <c r="G48" s="6" t="s">
        <v>27</v>
      </c>
      <c r="H48" t="s">
        <v>44</v>
      </c>
    </row>
    <row r="49" spans="6:8" x14ac:dyDescent="0.25">
      <c r="F49" t="s">
        <v>45</v>
      </c>
      <c r="H49" s="9">
        <v>4832647.8485006671</v>
      </c>
    </row>
    <row r="50" spans="6:8" x14ac:dyDescent="0.25">
      <c r="G50" t="s">
        <v>28</v>
      </c>
      <c r="H50" s="9">
        <v>1403639.2624665275</v>
      </c>
    </row>
    <row r="51" spans="6:8" x14ac:dyDescent="0.25">
      <c r="G51" t="s">
        <v>29</v>
      </c>
      <c r="H51" s="9">
        <v>1407707.1326660519</v>
      </c>
    </row>
    <row r="52" spans="6:8" x14ac:dyDescent="0.25">
      <c r="G52" t="s">
        <v>30</v>
      </c>
      <c r="H52" s="9">
        <v>2021301.4533680882</v>
      </c>
    </row>
    <row r="53" spans="6:8" x14ac:dyDescent="0.25">
      <c r="F53" t="s">
        <v>46</v>
      </c>
      <c r="H53" s="9">
        <v>5136753.8101288741</v>
      </c>
    </row>
    <row r="54" spans="6:8" x14ac:dyDescent="0.25">
      <c r="G54" t="s">
        <v>28</v>
      </c>
      <c r="H54" s="9">
        <v>1537113.919635264</v>
      </c>
    </row>
    <row r="55" spans="6:8" x14ac:dyDescent="0.25">
      <c r="G55" t="s">
        <v>29</v>
      </c>
      <c r="H55" s="9">
        <v>1547010.8482886425</v>
      </c>
    </row>
    <row r="56" spans="6:8" x14ac:dyDescent="0.25">
      <c r="G56" t="s">
        <v>30</v>
      </c>
      <c r="H56" s="9">
        <v>2052629.0422049677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9232631-7f80-4ff0-a683-fea4a890423f}" enabled="1" method="Privileged" siteId="{49158df8-04df-4db2-a1ae-ee3949ca398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Enunciado</vt:lpstr>
      <vt:lpstr>Acompanhamento Campanha</vt:lpstr>
      <vt:lpstr>Dash</vt:lpstr>
      <vt:lpstr>Tabelas dinâmicas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Maciel Da Rosa Ballin</dc:creator>
  <cp:lastModifiedBy>Gui Galera</cp:lastModifiedBy>
  <dcterms:created xsi:type="dcterms:W3CDTF">2026-01-28T20:06:28Z</dcterms:created>
  <dcterms:modified xsi:type="dcterms:W3CDTF">2026-02-23T05:05:30Z</dcterms:modified>
</cp:coreProperties>
</file>